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0" documentId="8_{978848DE-51CF-49DE-9616-8CEB631F6CD4}" xr6:coauthVersionLast="47" xr6:coauthVersionMax="47" xr10:uidLastSave="{00000000-0000-0000-0000-000000000000}"/>
  <bookViews>
    <workbookView xWindow="255" yWindow="825" windowWidth="28545" windowHeight="15375" xr2:uid="{00000000-000D-0000-FFFF-FFFF00000000}"/>
  </bookViews>
  <sheets>
    <sheet name="Septiembre 22-742776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8" l="1"/>
  <c r="O43" i="8" l="1"/>
</calcChain>
</file>

<file path=xl/sharedStrings.xml><?xml version="1.0" encoding="utf-8"?>
<sst xmlns="http://schemas.openxmlformats.org/spreadsheetml/2006/main" count="250" uniqueCount="81">
  <si>
    <t xml:space="preserve"> </t>
  </si>
  <si>
    <t>2022-10-04</t>
  </si>
  <si>
    <t>16:52:40</t>
  </si>
  <si>
    <t>Total a 202209</t>
  </si>
  <si>
    <t/>
  </si>
  <si>
    <t>Negocio</t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</si>
  <si>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</si>
  <si>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</si>
  <si>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</si>
  <si>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</si>
  <si>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</si>
  <si>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</si>
  <si>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</si>
  <si>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</si>
  <si>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</si>
  <si>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</si>
  <si>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</si>
  <si>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</si>
  <si>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</si>
  <si>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</si>
  <si>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</si>
  <si>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</si>
  <si>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</si>
  <si>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</si>
  <si>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</si>
  <si>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</si>
  <si>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</si>
  <si>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</si>
  <si>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</si>
  <si>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</si>
  <si>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</si>
  <si>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</si>
  <si>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</si>
  <si>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</si>
  <si>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</si>
  <si>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</si>
  <si>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</si>
  <si>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</si>
  <si>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</si>
  <si>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</si>
  <si>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</si>
  <si>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PARTICULARES</t>
  </si>
  <si>
    <t>ACC+DEC</t>
  </si>
  <si>
    <t>ACCIDENTES</t>
  </si>
  <si>
    <t>ACCIND</t>
  </si>
  <si>
    <t>DECESOS</t>
  </si>
  <si>
    <t>Subtotal</t>
  </si>
  <si>
    <t>AUTO</t>
  </si>
  <si>
    <t>RESTO AUTO</t>
  </si>
  <si>
    <t>HOGAR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</si>
  <si>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</si>
  <si>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</si>
  <si>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</si>
  <si>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</si>
  <si>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</si>
  <si>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</si>
  <si>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</si>
  <si>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</si>
  <si>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</si>
  <si>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</si>
  <si>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</si>
  <si>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</si>
  <si>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</si>
  <si>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SALUD</t>
  </si>
  <si>
    <t>SALUDIND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</si>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</sst>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46"/>
  <sheetViews>
    <sheetView tabSelected="1" workbookViewId="0">
      <selection activeCell="O12" sqref="O12"/>
    </sheetView>
  </sheetViews>
  <sheetFormatPr baseColWidth="10" defaultRowHeight="15" x14ac:dyDescent="0.25"/>
  <sheetData>
    <row r="4" spans="1:39" ht="20.25" x14ac:dyDescent="0.25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  <c r="O4" s="11"/>
      <c r="P4" s="11" t="s">
        <v>3</v>
      </c>
      <c r="Q4" s="11" t="s">
        <v>3</v>
      </c>
      <c r="R4" s="11" t="s">
        <v>3</v>
      </c>
      <c r="S4" s="11" t="s">
        <v>3</v>
      </c>
      <c r="T4" s="11" t="s">
        <v>3</v>
      </c>
      <c r="U4" s="11" t="s">
        <v>3</v>
      </c>
      <c r="V4" s="11" t="s">
        <v>3</v>
      </c>
      <c r="W4" s="11" t="s">
        <v>3</v>
      </c>
      <c r="X4" s="11" t="s">
        <v>3</v>
      </c>
      <c r="Y4" s="11" t="s">
        <v>3</v>
      </c>
      <c r="Z4" s="11" t="s">
        <v>3</v>
      </c>
      <c r="AA4" s="11" t="s">
        <v>3</v>
      </c>
      <c r="AB4" s="11" t="s">
        <v>3</v>
      </c>
      <c r="AC4" s="11" t="s">
        <v>3</v>
      </c>
      <c r="AD4" s="11" t="s">
        <v>3</v>
      </c>
      <c r="AE4" s="11" t="s">
        <v>3</v>
      </c>
      <c r="AF4" s="11" t="s">
        <v>3</v>
      </c>
      <c r="AG4" s="11" t="s">
        <v>3</v>
      </c>
      <c r="AH4" s="11" t="s">
        <v>3</v>
      </c>
      <c r="AI4" s="11" t="s">
        <v>3</v>
      </c>
      <c r="AJ4" s="11" t="s">
        <v>3</v>
      </c>
      <c r="AK4" s="11" t="s">
        <v>3</v>
      </c>
      <c r="AL4" s="11" t="s">
        <v>3</v>
      </c>
      <c r="AM4" s="11" t="s">
        <v>3</v>
      </c>
    </row>
    <row r="5" spans="1:39" x14ac:dyDescent="0.25">
      <c r="A5" s="12" t="s">
        <v>4</v>
      </c>
      <c r="B5" s="12" t="s">
        <v>4</v>
      </c>
      <c r="C5" s="12" t="s">
        <v>4</v>
      </c>
      <c r="D5" s="12" t="s">
        <v>4</v>
      </c>
      <c r="E5" s="12" t="s">
        <v>4</v>
      </c>
      <c r="F5" s="12" t="s">
        <v>4</v>
      </c>
      <c r="G5" s="12" t="s">
        <v>4</v>
      </c>
      <c r="H5" s="12" t="s">
        <v>4</v>
      </c>
      <c r="I5" s="12" t="s">
        <v>4</v>
      </c>
      <c r="J5" s="12" t="s">
        <v>4</v>
      </c>
      <c r="K5" s="12" t="s">
        <v>4</v>
      </c>
      <c r="L5" s="12" t="s">
        <v>4</v>
      </c>
      <c r="M5" s="12" t="s">
        <v>4</v>
      </c>
      <c r="N5" s="12" t="s">
        <v>4</v>
      </c>
      <c r="O5" s="12"/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  <c r="V5" s="12" t="s">
        <v>4</v>
      </c>
      <c r="W5" s="12" t="s">
        <v>4</v>
      </c>
      <c r="X5" s="12" t="s">
        <v>4</v>
      </c>
      <c r="Y5" s="12" t="s">
        <v>4</v>
      </c>
      <c r="Z5" s="12" t="s">
        <v>4</v>
      </c>
      <c r="AA5" s="12" t="s">
        <v>4</v>
      </c>
      <c r="AB5" s="12" t="s">
        <v>4</v>
      </c>
      <c r="AC5" s="12" t="s">
        <v>4</v>
      </c>
      <c r="AD5" s="12" t="s">
        <v>4</v>
      </c>
      <c r="AE5" s="12" t="s">
        <v>4</v>
      </c>
      <c r="AF5" s="12" t="s">
        <v>4</v>
      </c>
      <c r="AG5" s="12" t="s">
        <v>4</v>
      </c>
      <c r="AH5" s="12" t="s">
        <v>4</v>
      </c>
      <c r="AI5" s="12" t="s">
        <v>4</v>
      </c>
      <c r="AJ5" s="12" t="s">
        <v>4</v>
      </c>
      <c r="AK5" s="12" t="s">
        <v>4</v>
      </c>
      <c r="AL5" s="12" t="s">
        <v>4</v>
      </c>
      <c r="AM5" s="12" t="s">
        <v>4</v>
      </c>
    </row>
    <row r="6" spans="1:39" ht="1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/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31</v>
      </c>
      <c r="AF6" s="1" t="s">
        <v>34</v>
      </c>
      <c r="AG6" s="1" t="s">
        <v>35</v>
      </c>
      <c r="AH6" s="1" t="s">
        <v>31</v>
      </c>
      <c r="AI6" s="1" t="s">
        <v>36</v>
      </c>
      <c r="AJ6" s="1" t="s">
        <v>37</v>
      </c>
      <c r="AK6" s="1" t="s">
        <v>38</v>
      </c>
      <c r="AL6" s="1" t="s">
        <v>39</v>
      </c>
      <c r="AM6" s="1" t="s">
        <v>40</v>
      </c>
    </row>
    <row r="7" spans="1:39" x14ac:dyDescent="0.25">
      <c r="A7" s="10" t="s">
        <v>41</v>
      </c>
      <c r="B7" s="10" t="s">
        <v>42</v>
      </c>
      <c r="C7" s="2" t="s">
        <v>43</v>
      </c>
      <c r="D7" s="2" t="s">
        <v>44</v>
      </c>
      <c r="E7" s="6">
        <v>0.99299999999999999</v>
      </c>
      <c r="F7" s="6">
        <v>7.3999999999999996E-2</v>
      </c>
      <c r="G7" s="6">
        <v>0.13500000000000001</v>
      </c>
      <c r="H7" s="6">
        <v>0.115</v>
      </c>
      <c r="I7" s="7">
        <v>7</v>
      </c>
      <c r="J7" s="3"/>
      <c r="K7" s="7">
        <v>32</v>
      </c>
      <c r="L7" s="7">
        <v>5</v>
      </c>
      <c r="M7" s="7">
        <v>6229</v>
      </c>
      <c r="N7" s="7">
        <v>5526</v>
      </c>
      <c r="O7" s="7"/>
      <c r="P7" s="6">
        <v>0.127</v>
      </c>
      <c r="Q7" s="7">
        <v>744</v>
      </c>
      <c r="R7" s="7">
        <v>0</v>
      </c>
      <c r="S7" s="3"/>
      <c r="T7" s="7">
        <v>106.22</v>
      </c>
      <c r="U7" s="3"/>
      <c r="V7" s="7">
        <v>5169</v>
      </c>
      <c r="W7" s="6">
        <v>2.5999999999999999E-2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3"/>
      <c r="AG7" s="3"/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7">
        <v>0</v>
      </c>
    </row>
    <row r="8" spans="1:39" x14ac:dyDescent="0.25">
      <c r="A8" s="10" t="s">
        <v>41</v>
      </c>
      <c r="B8" s="10" t="s">
        <v>42</v>
      </c>
      <c r="C8" s="2" t="s">
        <v>45</v>
      </c>
      <c r="D8" s="2" t="s">
        <v>45</v>
      </c>
      <c r="E8" s="6">
        <v>1.0209999999999999</v>
      </c>
      <c r="F8" s="6">
        <v>0.02</v>
      </c>
      <c r="G8" s="6">
        <v>0</v>
      </c>
      <c r="H8" s="6">
        <v>0</v>
      </c>
      <c r="I8" s="7">
        <v>0</v>
      </c>
      <c r="J8" s="6">
        <v>-1</v>
      </c>
      <c r="K8" s="7">
        <v>48</v>
      </c>
      <c r="L8" s="7">
        <v>-1</v>
      </c>
      <c r="M8" s="7">
        <v>6297</v>
      </c>
      <c r="N8" s="7">
        <v>6165</v>
      </c>
      <c r="O8" s="7"/>
      <c r="P8" s="6">
        <v>2.1000000000000001E-2</v>
      </c>
      <c r="Q8" s="7">
        <v>0</v>
      </c>
      <c r="R8" s="7">
        <v>435</v>
      </c>
      <c r="S8" s="6">
        <v>-1</v>
      </c>
      <c r="T8" s="3"/>
      <c r="U8" s="3"/>
      <c r="V8" s="7">
        <v>6456</v>
      </c>
      <c r="W8" s="6">
        <v>8.5000000000000006E-2</v>
      </c>
      <c r="X8" s="6">
        <v>7.0000000000000001E-3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3"/>
      <c r="AG8" s="3"/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7">
        <v>0</v>
      </c>
    </row>
    <row r="9" spans="1:39" x14ac:dyDescent="0.25">
      <c r="A9" s="10" t="s">
        <v>41</v>
      </c>
      <c r="B9" s="10" t="s">
        <v>42</v>
      </c>
      <c r="C9" s="4" t="s">
        <v>46</v>
      </c>
      <c r="D9" s="4"/>
      <c r="E9" s="8">
        <v>1.008</v>
      </c>
      <c r="F9" s="8">
        <v>3.9E-2</v>
      </c>
      <c r="G9" s="8">
        <v>6.4000000000000001E-2</v>
      </c>
      <c r="H9" s="8">
        <v>5.3999999999999999E-2</v>
      </c>
      <c r="I9" s="9">
        <v>7</v>
      </c>
      <c r="J9" s="8">
        <v>1.333</v>
      </c>
      <c r="K9" s="9">
        <v>80</v>
      </c>
      <c r="L9" s="9">
        <v>4</v>
      </c>
      <c r="M9" s="9">
        <v>12525</v>
      </c>
      <c r="N9" s="9">
        <v>11691</v>
      </c>
      <c r="O9" s="9"/>
      <c r="P9" s="8">
        <v>7.0999999999999994E-2</v>
      </c>
      <c r="Q9" s="9">
        <v>744</v>
      </c>
      <c r="R9" s="9">
        <v>435</v>
      </c>
      <c r="S9" s="8">
        <v>0.70899999999999996</v>
      </c>
      <c r="T9" s="9">
        <v>106.22</v>
      </c>
      <c r="U9" s="8">
        <v>-0.26700000000000002</v>
      </c>
      <c r="V9" s="9">
        <v>11625</v>
      </c>
      <c r="W9" s="8">
        <v>5.8000000000000003E-2</v>
      </c>
      <c r="X9" s="8">
        <v>4.0000000000000001E-3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4"/>
      <c r="AG9" s="4"/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9">
        <v>0</v>
      </c>
    </row>
    <row r="10" spans="1:39" x14ac:dyDescent="0.25">
      <c r="A10" s="10" t="s">
        <v>41</v>
      </c>
      <c r="B10" s="10" t="s">
        <v>47</v>
      </c>
      <c r="C10" s="2" t="s">
        <v>47</v>
      </c>
      <c r="D10" s="2" t="s">
        <v>48</v>
      </c>
      <c r="E10" s="6">
        <v>0.90100000000000002</v>
      </c>
      <c r="F10" s="6">
        <v>9.9000000000000005E-2</v>
      </c>
      <c r="G10" s="6">
        <v>0.128</v>
      </c>
      <c r="H10" s="6">
        <v>9.0999999999999998E-2</v>
      </c>
      <c r="I10" s="7">
        <v>359</v>
      </c>
      <c r="J10" s="6">
        <v>0.37</v>
      </c>
      <c r="K10" s="7">
        <v>2743</v>
      </c>
      <c r="L10" s="7">
        <v>98</v>
      </c>
      <c r="M10" s="7">
        <v>744631</v>
      </c>
      <c r="N10" s="7">
        <v>724133</v>
      </c>
      <c r="O10" s="7"/>
      <c r="P10" s="6">
        <v>2.8000000000000001E-2</v>
      </c>
      <c r="Q10" s="7">
        <v>92517</v>
      </c>
      <c r="R10" s="7">
        <v>83229</v>
      </c>
      <c r="S10" s="6">
        <v>0.112</v>
      </c>
      <c r="T10" s="7">
        <v>260.68</v>
      </c>
      <c r="U10" s="6">
        <v>-0.222</v>
      </c>
      <c r="V10" s="7">
        <v>705309</v>
      </c>
      <c r="W10" s="6">
        <v>1.7999999999999999E-2</v>
      </c>
      <c r="X10" s="6">
        <v>1.4E-2</v>
      </c>
      <c r="Y10" s="6">
        <v>0.82299999999999995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3"/>
      <c r="AG10" s="3"/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7">
        <v>0</v>
      </c>
    </row>
    <row r="11" spans="1:39" x14ac:dyDescent="0.25">
      <c r="A11" s="10" t="s">
        <v>41</v>
      </c>
      <c r="B11" s="10" t="s">
        <v>47</v>
      </c>
      <c r="C11" s="4" t="s">
        <v>46</v>
      </c>
      <c r="D11" s="4"/>
      <c r="E11" s="8">
        <v>0.90100000000000002</v>
      </c>
      <c r="F11" s="8">
        <v>9.9000000000000005E-2</v>
      </c>
      <c r="G11" s="8">
        <v>0.128</v>
      </c>
      <c r="H11" s="8">
        <v>9.0999999999999998E-2</v>
      </c>
      <c r="I11" s="9">
        <v>359</v>
      </c>
      <c r="J11" s="8">
        <v>0.37</v>
      </c>
      <c r="K11" s="9">
        <v>2743</v>
      </c>
      <c r="L11" s="9">
        <v>98</v>
      </c>
      <c r="M11" s="9">
        <v>744631</v>
      </c>
      <c r="N11" s="9">
        <v>724133</v>
      </c>
      <c r="O11" s="9">
        <f>+M11-N11</f>
        <v>20498</v>
      </c>
      <c r="P11" s="8">
        <v>2.8000000000000001E-2</v>
      </c>
      <c r="Q11" s="9">
        <v>92517</v>
      </c>
      <c r="R11" s="9">
        <v>83229</v>
      </c>
      <c r="S11" s="8">
        <v>0.112</v>
      </c>
      <c r="T11" s="9">
        <v>260.68</v>
      </c>
      <c r="U11" s="8">
        <v>-0.222</v>
      </c>
      <c r="V11" s="9">
        <v>705309</v>
      </c>
      <c r="W11" s="8">
        <v>1.7999999999999999E-2</v>
      </c>
      <c r="X11" s="8">
        <v>1.4E-2</v>
      </c>
      <c r="Y11" s="8">
        <v>0.82299999999999995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4"/>
      <c r="AG11" s="4"/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9">
        <v>0</v>
      </c>
    </row>
    <row r="12" spans="1:39" x14ac:dyDescent="0.25">
      <c r="A12" s="10" t="s">
        <v>41</v>
      </c>
      <c r="B12" s="10" t="s">
        <v>49</v>
      </c>
      <c r="C12" s="2" t="s">
        <v>49</v>
      </c>
      <c r="D12" s="2" t="s">
        <v>49</v>
      </c>
      <c r="E12" s="6">
        <v>0.91600000000000004</v>
      </c>
      <c r="F12" s="6">
        <v>7.4999999999999997E-2</v>
      </c>
      <c r="G12" s="6">
        <v>0.107</v>
      </c>
      <c r="H12" s="6">
        <v>6.9000000000000006E-2</v>
      </c>
      <c r="I12" s="7">
        <v>63</v>
      </c>
      <c r="J12" s="6">
        <v>-3.1E-2</v>
      </c>
      <c r="K12" s="7">
        <v>798</v>
      </c>
      <c r="L12" s="7">
        <v>3</v>
      </c>
      <c r="M12" s="7">
        <v>118557</v>
      </c>
      <c r="N12" s="7">
        <v>115963</v>
      </c>
      <c r="O12" s="7"/>
      <c r="P12" s="6">
        <v>2.1999999999999999E-2</v>
      </c>
      <c r="Q12" s="7">
        <v>12368</v>
      </c>
      <c r="R12" s="7">
        <v>11289</v>
      </c>
      <c r="S12" s="6">
        <v>9.6000000000000002E-2</v>
      </c>
      <c r="T12" s="7">
        <v>196.32</v>
      </c>
      <c r="U12" s="6">
        <v>0.13</v>
      </c>
      <c r="V12" s="7">
        <v>126843</v>
      </c>
      <c r="W12" s="6">
        <v>4.2999999999999997E-2</v>
      </c>
      <c r="X12" s="6">
        <v>8.0000000000000002E-3</v>
      </c>
      <c r="Y12" s="6">
        <v>0.53700000000000003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3"/>
      <c r="AG12" s="3"/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7">
        <v>0</v>
      </c>
    </row>
    <row r="13" spans="1:39" x14ac:dyDescent="0.25">
      <c r="A13" s="10" t="s">
        <v>41</v>
      </c>
      <c r="B13" s="10" t="s">
        <v>49</v>
      </c>
      <c r="C13" s="4" t="s">
        <v>46</v>
      </c>
      <c r="D13" s="4"/>
      <c r="E13" s="8">
        <v>0.91600000000000004</v>
      </c>
      <c r="F13" s="8">
        <v>7.4999999999999997E-2</v>
      </c>
      <c r="G13" s="8">
        <v>0.107</v>
      </c>
      <c r="H13" s="8">
        <v>6.9000000000000006E-2</v>
      </c>
      <c r="I13" s="9">
        <v>63</v>
      </c>
      <c r="J13" s="8">
        <v>-3.1E-2</v>
      </c>
      <c r="K13" s="9">
        <v>798</v>
      </c>
      <c r="L13" s="9">
        <v>3</v>
      </c>
      <c r="M13" s="9">
        <v>118557</v>
      </c>
      <c r="N13" s="9">
        <v>115963</v>
      </c>
      <c r="O13" s="9"/>
      <c r="P13" s="8">
        <v>2.1999999999999999E-2</v>
      </c>
      <c r="Q13" s="9">
        <v>12368</v>
      </c>
      <c r="R13" s="9">
        <v>11289</v>
      </c>
      <c r="S13" s="8">
        <v>9.6000000000000002E-2</v>
      </c>
      <c r="T13" s="9">
        <v>196.32</v>
      </c>
      <c r="U13" s="8">
        <v>0.13</v>
      </c>
      <c r="V13" s="9">
        <v>126843</v>
      </c>
      <c r="W13" s="8">
        <v>4.2999999999999997E-2</v>
      </c>
      <c r="X13" s="8">
        <v>8.0000000000000002E-3</v>
      </c>
      <c r="Y13" s="8">
        <v>0.53700000000000003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4"/>
      <c r="AG13" s="4"/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9">
        <v>0</v>
      </c>
    </row>
    <row r="14" spans="1:39" ht="22.5" x14ac:dyDescent="0.25">
      <c r="A14" s="10" t="s">
        <v>41</v>
      </c>
      <c r="B14" s="10" t="s">
        <v>50</v>
      </c>
      <c r="C14" s="2" t="s">
        <v>51</v>
      </c>
      <c r="D14" s="2" t="s">
        <v>51</v>
      </c>
      <c r="E14" s="6">
        <v>0.90200000000000002</v>
      </c>
      <c r="F14" s="6">
        <v>4.2000000000000003E-2</v>
      </c>
      <c r="G14" s="6">
        <v>9.6000000000000002E-2</v>
      </c>
      <c r="H14" s="6">
        <v>5.0999999999999997E-2</v>
      </c>
      <c r="I14" s="7">
        <v>3</v>
      </c>
      <c r="J14" s="6">
        <v>2</v>
      </c>
      <c r="K14" s="7">
        <v>26</v>
      </c>
      <c r="L14" s="7">
        <v>2</v>
      </c>
      <c r="M14" s="7">
        <v>12631</v>
      </c>
      <c r="N14" s="7">
        <v>12661</v>
      </c>
      <c r="O14" s="7"/>
      <c r="P14" s="6">
        <v>-2E-3</v>
      </c>
      <c r="Q14" s="7">
        <v>1212</v>
      </c>
      <c r="R14" s="7">
        <v>1007</v>
      </c>
      <c r="S14" s="6">
        <v>0.20399999999999999</v>
      </c>
      <c r="T14" s="7">
        <v>404.07</v>
      </c>
      <c r="U14" s="6">
        <v>-0.59899999999999998</v>
      </c>
      <c r="V14" s="7">
        <v>13101</v>
      </c>
      <c r="W14" s="6">
        <v>4.3999999999999997E-2</v>
      </c>
      <c r="X14" s="6">
        <v>0</v>
      </c>
      <c r="Y14" s="6">
        <v>1.151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3"/>
      <c r="AG14" s="3"/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7">
        <v>0</v>
      </c>
    </row>
    <row r="15" spans="1:39" x14ac:dyDescent="0.25">
      <c r="A15" s="10" t="s">
        <v>41</v>
      </c>
      <c r="B15" s="10" t="s">
        <v>50</v>
      </c>
      <c r="C15" s="4" t="s">
        <v>46</v>
      </c>
      <c r="D15" s="4"/>
      <c r="E15" s="8">
        <v>0.90200000000000002</v>
      </c>
      <c r="F15" s="8">
        <v>4.2000000000000003E-2</v>
      </c>
      <c r="G15" s="8">
        <v>9.6000000000000002E-2</v>
      </c>
      <c r="H15" s="8">
        <v>5.0999999999999997E-2</v>
      </c>
      <c r="I15" s="9">
        <v>3</v>
      </c>
      <c r="J15" s="8">
        <v>2</v>
      </c>
      <c r="K15" s="9">
        <v>26</v>
      </c>
      <c r="L15" s="9">
        <v>2</v>
      </c>
      <c r="M15" s="9">
        <v>12631</v>
      </c>
      <c r="N15" s="9">
        <v>12661</v>
      </c>
      <c r="O15" s="9"/>
      <c r="P15" s="8">
        <v>-2E-3</v>
      </c>
      <c r="Q15" s="9">
        <v>1212</v>
      </c>
      <c r="R15" s="9">
        <v>1007</v>
      </c>
      <c r="S15" s="8">
        <v>0.20399999999999999</v>
      </c>
      <c r="T15" s="9">
        <v>404.07</v>
      </c>
      <c r="U15" s="8">
        <v>-0.59899999999999998</v>
      </c>
      <c r="V15" s="9">
        <v>13101</v>
      </c>
      <c r="W15" s="8">
        <v>4.3999999999999997E-2</v>
      </c>
      <c r="X15" s="8">
        <v>0</v>
      </c>
      <c r="Y15" s="8">
        <v>1.151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4"/>
      <c r="AG15" s="4"/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9">
        <v>0</v>
      </c>
    </row>
    <row r="16" spans="1:39" ht="22.5" x14ac:dyDescent="0.25">
      <c r="A16" s="10" t="s">
        <v>41</v>
      </c>
      <c r="B16" s="10" t="s">
        <v>52</v>
      </c>
      <c r="C16" s="2" t="s">
        <v>53</v>
      </c>
      <c r="D16" s="2" t="s">
        <v>54</v>
      </c>
      <c r="E16" s="6">
        <v>0</v>
      </c>
      <c r="F16" s="6">
        <v>13</v>
      </c>
      <c r="G16" s="6">
        <v>1.4259999999999999</v>
      </c>
      <c r="H16" s="6">
        <v>0.67300000000000004</v>
      </c>
      <c r="I16" s="7">
        <v>16</v>
      </c>
      <c r="J16" s="6">
        <v>1.286</v>
      </c>
      <c r="K16" s="7">
        <v>4</v>
      </c>
      <c r="L16" s="7">
        <v>3</v>
      </c>
      <c r="M16" s="7">
        <v>1800</v>
      </c>
      <c r="N16" s="7">
        <v>1262</v>
      </c>
      <c r="O16" s="7"/>
      <c r="P16" s="6">
        <v>0.42599999999999999</v>
      </c>
      <c r="Q16" s="7">
        <v>1800</v>
      </c>
      <c r="R16" s="7">
        <v>1262</v>
      </c>
      <c r="S16" s="6">
        <v>0.42599999999999999</v>
      </c>
      <c r="T16" s="7">
        <v>2638.98</v>
      </c>
      <c r="U16" s="6">
        <v>0.78700000000000003</v>
      </c>
      <c r="V16" s="7">
        <v>1320</v>
      </c>
      <c r="W16" s="6">
        <v>1.9E-2</v>
      </c>
      <c r="X16" s="6">
        <v>0</v>
      </c>
      <c r="Y16" s="6">
        <v>0.70699999999999996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3"/>
      <c r="AG16" s="3"/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7">
        <v>0</v>
      </c>
    </row>
    <row r="17" spans="1:39" x14ac:dyDescent="0.25">
      <c r="A17" s="10" t="s">
        <v>41</v>
      </c>
      <c r="B17" s="10" t="s">
        <v>52</v>
      </c>
      <c r="C17" s="2" t="s">
        <v>55</v>
      </c>
      <c r="D17" s="2" t="s">
        <v>56</v>
      </c>
      <c r="E17" s="6">
        <v>0.58499999999999996</v>
      </c>
      <c r="F17" s="6">
        <v>0.5</v>
      </c>
      <c r="G17" s="6">
        <v>1.345</v>
      </c>
      <c r="H17" s="6">
        <v>1.1839999999999999</v>
      </c>
      <c r="I17" s="7">
        <v>3</v>
      </c>
      <c r="J17" s="6">
        <v>2</v>
      </c>
      <c r="K17" s="7">
        <v>7</v>
      </c>
      <c r="L17" s="7">
        <v>-1</v>
      </c>
      <c r="M17" s="7">
        <v>1885</v>
      </c>
      <c r="N17" s="7">
        <v>977</v>
      </c>
      <c r="O17" s="7"/>
      <c r="P17" s="6">
        <v>0.92900000000000005</v>
      </c>
      <c r="Q17" s="7">
        <v>1314</v>
      </c>
      <c r="R17" s="7">
        <v>98</v>
      </c>
      <c r="S17" s="6">
        <v>12.375999999999999</v>
      </c>
      <c r="T17" s="7">
        <v>437.97</v>
      </c>
      <c r="U17" s="6">
        <v>3.4590000000000001</v>
      </c>
      <c r="V17" s="7">
        <v>798</v>
      </c>
      <c r="W17" s="6">
        <v>-5.0000000000000001E-3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3"/>
      <c r="AG17" s="3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7">
        <v>0</v>
      </c>
    </row>
    <row r="18" spans="1:39" x14ac:dyDescent="0.25">
      <c r="A18" s="10" t="s">
        <v>41</v>
      </c>
      <c r="B18" s="10" t="s">
        <v>52</v>
      </c>
      <c r="C18" s="2" t="s">
        <v>57</v>
      </c>
      <c r="D18" s="2" t="s">
        <v>58</v>
      </c>
      <c r="E18" s="6">
        <v>0.45700000000000002</v>
      </c>
      <c r="F18" s="6">
        <v>8.3000000000000004E-2</v>
      </c>
      <c r="G18" s="6">
        <v>0</v>
      </c>
      <c r="H18" s="6">
        <v>0</v>
      </c>
      <c r="I18" s="7">
        <v>0</v>
      </c>
      <c r="J18" s="3"/>
      <c r="K18" s="7">
        <v>11</v>
      </c>
      <c r="L18" s="7">
        <v>-1</v>
      </c>
      <c r="M18" s="7">
        <v>1181</v>
      </c>
      <c r="N18" s="7">
        <v>2586</v>
      </c>
      <c r="O18" s="7"/>
      <c r="P18" s="6">
        <v>-0.54300000000000004</v>
      </c>
      <c r="Q18" s="7">
        <v>0</v>
      </c>
      <c r="R18" s="7">
        <v>0</v>
      </c>
      <c r="S18" s="3"/>
      <c r="T18" s="3"/>
      <c r="U18" s="3"/>
      <c r="V18" s="7">
        <v>2059</v>
      </c>
      <c r="W18" s="6">
        <v>-0.15</v>
      </c>
      <c r="X18" s="6">
        <v>0.20300000000000001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3"/>
      <c r="AG18" s="3"/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7">
        <v>0</v>
      </c>
    </row>
    <row r="19" spans="1:39" x14ac:dyDescent="0.25">
      <c r="A19" s="10" t="s">
        <v>41</v>
      </c>
      <c r="B19" s="10" t="s">
        <v>52</v>
      </c>
      <c r="C19" s="10" t="s">
        <v>59</v>
      </c>
      <c r="D19" s="2" t="s">
        <v>60</v>
      </c>
      <c r="E19" s="6">
        <v>0.89700000000000002</v>
      </c>
      <c r="F19" s="6">
        <v>4.2000000000000003E-2</v>
      </c>
      <c r="G19" s="6">
        <v>7.4999999999999997E-2</v>
      </c>
      <c r="H19" s="6">
        <v>7.4999999999999997E-2</v>
      </c>
      <c r="I19" s="7">
        <v>5</v>
      </c>
      <c r="J19" s="6">
        <v>0.66700000000000004</v>
      </c>
      <c r="K19" s="7">
        <v>118</v>
      </c>
      <c r="L19" s="7">
        <v>0</v>
      </c>
      <c r="M19" s="7">
        <v>1007</v>
      </c>
      <c r="N19" s="7">
        <v>1036</v>
      </c>
      <c r="O19" s="7"/>
      <c r="P19" s="6">
        <v>-2.8000000000000001E-2</v>
      </c>
      <c r="Q19" s="7">
        <v>78</v>
      </c>
      <c r="R19" s="7">
        <v>38</v>
      </c>
      <c r="S19" s="6">
        <v>1.038</v>
      </c>
      <c r="T19" s="7">
        <v>15.57</v>
      </c>
      <c r="U19" s="6">
        <v>0.223</v>
      </c>
      <c r="V19" s="7">
        <v>1679</v>
      </c>
      <c r="W19" s="6">
        <v>-1.6E-2</v>
      </c>
      <c r="X19" s="6">
        <v>1.7000000000000001E-2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3"/>
      <c r="AG19" s="3"/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7">
        <v>0</v>
      </c>
    </row>
    <row r="20" spans="1:39" x14ac:dyDescent="0.25">
      <c r="A20" s="10" t="s">
        <v>41</v>
      </c>
      <c r="B20" s="10" t="s">
        <v>52</v>
      </c>
      <c r="C20" s="10" t="s">
        <v>59</v>
      </c>
      <c r="D20" s="2" t="s">
        <v>61</v>
      </c>
      <c r="E20" s="6">
        <v>0.94199999999999995</v>
      </c>
      <c r="F20" s="6">
        <v>0.158</v>
      </c>
      <c r="G20" s="6">
        <v>0.184</v>
      </c>
      <c r="H20" s="6">
        <v>0.151</v>
      </c>
      <c r="I20" s="7">
        <v>10</v>
      </c>
      <c r="J20" s="6">
        <v>0.66700000000000004</v>
      </c>
      <c r="K20" s="7">
        <v>42</v>
      </c>
      <c r="L20" s="7">
        <v>4</v>
      </c>
      <c r="M20" s="7">
        <v>5229</v>
      </c>
      <c r="N20" s="7">
        <v>4640</v>
      </c>
      <c r="O20" s="7"/>
      <c r="P20" s="6">
        <v>0.127</v>
      </c>
      <c r="Q20" s="7">
        <v>855</v>
      </c>
      <c r="R20" s="7">
        <v>461</v>
      </c>
      <c r="S20" s="6">
        <v>0.85599999999999998</v>
      </c>
      <c r="T20" s="7">
        <v>85.54</v>
      </c>
      <c r="U20" s="6">
        <v>-3.7999999999999999E-2</v>
      </c>
      <c r="V20" s="7">
        <v>5961</v>
      </c>
      <c r="W20" s="6">
        <v>0.35099999999999998</v>
      </c>
      <c r="X20" s="6">
        <v>2E-3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3"/>
      <c r="AG20" s="3"/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7">
        <v>0</v>
      </c>
    </row>
    <row r="21" spans="1:39" x14ac:dyDescent="0.25">
      <c r="A21" s="10" t="s">
        <v>41</v>
      </c>
      <c r="B21" s="10" t="s">
        <v>52</v>
      </c>
      <c r="C21" s="2" t="s">
        <v>62</v>
      </c>
      <c r="D21" s="2" t="s">
        <v>62</v>
      </c>
      <c r="E21" s="6">
        <v>0.83499999999999996</v>
      </c>
      <c r="F21" s="6">
        <v>0.1</v>
      </c>
      <c r="G21" s="6">
        <v>0</v>
      </c>
      <c r="H21" s="6">
        <v>0</v>
      </c>
      <c r="I21" s="7">
        <v>0</v>
      </c>
      <c r="J21" s="3"/>
      <c r="K21" s="7">
        <v>27</v>
      </c>
      <c r="L21" s="7">
        <v>-3</v>
      </c>
      <c r="M21" s="7">
        <v>2086</v>
      </c>
      <c r="N21" s="7">
        <v>2499</v>
      </c>
      <c r="O21" s="7"/>
      <c r="P21" s="6">
        <v>-0.16500000000000001</v>
      </c>
      <c r="Q21" s="7">
        <v>0</v>
      </c>
      <c r="R21" s="7">
        <v>0</v>
      </c>
      <c r="S21" s="3"/>
      <c r="T21" s="3"/>
      <c r="U21" s="3"/>
      <c r="V21" s="7">
        <v>2303</v>
      </c>
      <c r="W21" s="6">
        <v>-0.123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3"/>
      <c r="AG21" s="3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7">
        <v>0</v>
      </c>
    </row>
    <row r="22" spans="1:39" x14ac:dyDescent="0.25">
      <c r="A22" s="10" t="s">
        <v>41</v>
      </c>
      <c r="B22" s="10" t="s">
        <v>52</v>
      </c>
      <c r="C22" s="4" t="s">
        <v>46</v>
      </c>
      <c r="D22" s="4"/>
      <c r="E22" s="8">
        <v>0.70299999999999996</v>
      </c>
      <c r="F22" s="8">
        <v>0.155</v>
      </c>
      <c r="G22" s="8">
        <v>0.311</v>
      </c>
      <c r="H22" s="8">
        <v>0.214</v>
      </c>
      <c r="I22" s="9">
        <v>34</v>
      </c>
      <c r="J22" s="8">
        <v>1</v>
      </c>
      <c r="K22" s="9">
        <v>209</v>
      </c>
      <c r="L22" s="9">
        <v>2</v>
      </c>
      <c r="M22" s="9">
        <v>13188</v>
      </c>
      <c r="N22" s="9">
        <v>13000</v>
      </c>
      <c r="O22" s="9"/>
      <c r="P22" s="8">
        <v>1.4E-2</v>
      </c>
      <c r="Q22" s="9">
        <v>4047</v>
      </c>
      <c r="R22" s="9">
        <v>1860</v>
      </c>
      <c r="S22" s="8">
        <v>1.177</v>
      </c>
      <c r="T22" s="9">
        <v>216.65</v>
      </c>
      <c r="U22" s="8">
        <v>0.17</v>
      </c>
      <c r="V22" s="9">
        <v>14120</v>
      </c>
      <c r="W22" s="8">
        <v>6.4000000000000001E-2</v>
      </c>
      <c r="X22" s="8">
        <v>2.3E-2</v>
      </c>
      <c r="Y22" s="8">
        <v>6.6000000000000003E-2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4"/>
      <c r="AG22" s="4"/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9">
        <v>0</v>
      </c>
    </row>
    <row r="23" spans="1:39" x14ac:dyDescent="0.25">
      <c r="A23" s="10" t="s">
        <v>41</v>
      </c>
      <c r="B23" s="10" t="s">
        <v>63</v>
      </c>
      <c r="C23" s="2" t="s">
        <v>63</v>
      </c>
      <c r="D23" s="2" t="s">
        <v>64</v>
      </c>
      <c r="E23" s="6">
        <v>0.94799999999999995</v>
      </c>
      <c r="F23" s="6">
        <v>0.13300000000000001</v>
      </c>
      <c r="G23" s="6">
        <v>0.23400000000000001</v>
      </c>
      <c r="H23" s="6">
        <v>0.13</v>
      </c>
      <c r="I23" s="7">
        <v>10</v>
      </c>
      <c r="J23" s="6">
        <v>0.42899999999999999</v>
      </c>
      <c r="K23" s="7">
        <v>62</v>
      </c>
      <c r="L23" s="7">
        <v>2</v>
      </c>
      <c r="M23" s="7">
        <v>23038</v>
      </c>
      <c r="N23" s="7">
        <v>19482</v>
      </c>
      <c r="O23" s="7"/>
      <c r="P23" s="6">
        <v>0.183</v>
      </c>
      <c r="Q23" s="7">
        <v>4562</v>
      </c>
      <c r="R23" s="7">
        <v>3929</v>
      </c>
      <c r="S23" s="6">
        <v>0.161</v>
      </c>
      <c r="T23" s="7">
        <v>456.23</v>
      </c>
      <c r="U23" s="6">
        <v>-0.187</v>
      </c>
      <c r="V23" s="7">
        <v>24126</v>
      </c>
      <c r="W23" s="6">
        <v>0.158</v>
      </c>
      <c r="X23" s="6">
        <v>3.0000000000000001E-3</v>
      </c>
      <c r="Y23" s="6">
        <v>0.436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3"/>
      <c r="AG23" s="3"/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7">
        <v>0</v>
      </c>
    </row>
    <row r="24" spans="1:39" x14ac:dyDescent="0.25">
      <c r="A24" s="10" t="s">
        <v>41</v>
      </c>
      <c r="B24" s="10" t="s">
        <v>63</v>
      </c>
      <c r="C24" s="4" t="s">
        <v>46</v>
      </c>
      <c r="D24" s="4"/>
      <c r="E24" s="8">
        <v>0.94799999999999995</v>
      </c>
      <c r="F24" s="8">
        <v>0.13300000000000001</v>
      </c>
      <c r="G24" s="8">
        <v>0.23400000000000001</v>
      </c>
      <c r="H24" s="8">
        <v>0.13</v>
      </c>
      <c r="I24" s="9">
        <v>10</v>
      </c>
      <c r="J24" s="8">
        <v>0.42899999999999999</v>
      </c>
      <c r="K24" s="9">
        <v>62</v>
      </c>
      <c r="L24" s="9">
        <v>2</v>
      </c>
      <c r="M24" s="9">
        <v>23038</v>
      </c>
      <c r="N24" s="9">
        <v>19482</v>
      </c>
      <c r="O24" s="9"/>
      <c r="P24" s="8">
        <v>0.183</v>
      </c>
      <c r="Q24" s="9">
        <v>4562</v>
      </c>
      <c r="R24" s="9">
        <v>3929</v>
      </c>
      <c r="S24" s="8">
        <v>0.161</v>
      </c>
      <c r="T24" s="9">
        <v>456.23</v>
      </c>
      <c r="U24" s="8">
        <v>-0.187</v>
      </c>
      <c r="V24" s="9">
        <v>24126</v>
      </c>
      <c r="W24" s="8">
        <v>0.158</v>
      </c>
      <c r="X24" s="8">
        <v>3.0000000000000001E-3</v>
      </c>
      <c r="Y24" s="8">
        <v>0.436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4"/>
      <c r="AG24" s="4"/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9">
        <v>0</v>
      </c>
    </row>
    <row r="25" spans="1:39" x14ac:dyDescent="0.25">
      <c r="A25" s="10" t="s">
        <v>41</v>
      </c>
      <c r="B25" s="4" t="s">
        <v>46</v>
      </c>
      <c r="C25" s="4"/>
      <c r="D25" s="4"/>
      <c r="E25" s="8">
        <v>0.90200000000000002</v>
      </c>
      <c r="F25" s="8">
        <v>9.6000000000000002E-2</v>
      </c>
      <c r="G25" s="8">
        <v>0.129</v>
      </c>
      <c r="H25" s="8">
        <v>0.09</v>
      </c>
      <c r="I25" s="9">
        <v>476</v>
      </c>
      <c r="J25" s="8">
        <v>0.34100000000000003</v>
      </c>
      <c r="K25" s="9">
        <v>3918</v>
      </c>
      <c r="L25" s="9">
        <v>111</v>
      </c>
      <c r="M25" s="9">
        <v>924571</v>
      </c>
      <c r="N25" s="9">
        <v>896930</v>
      </c>
      <c r="O25" s="9"/>
      <c r="P25" s="8">
        <v>3.1E-2</v>
      </c>
      <c r="Q25" s="9">
        <v>115450</v>
      </c>
      <c r="R25" s="9">
        <v>101749</v>
      </c>
      <c r="S25" s="8">
        <v>0.13500000000000001</v>
      </c>
      <c r="T25" s="9">
        <v>252.86</v>
      </c>
      <c r="U25" s="8">
        <v>-0.16900000000000001</v>
      </c>
      <c r="V25" s="9">
        <v>895124</v>
      </c>
      <c r="W25" s="8">
        <v>2.7E-2</v>
      </c>
      <c r="X25" s="8">
        <v>1.2999999999999999E-2</v>
      </c>
      <c r="Y25" s="8">
        <v>0.754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4"/>
      <c r="AG25" s="4"/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9">
        <v>0</v>
      </c>
    </row>
    <row r="26" spans="1:39" x14ac:dyDescent="0.25">
      <c r="A26" s="10" t="s">
        <v>65</v>
      </c>
      <c r="B26" s="10" t="s">
        <v>43</v>
      </c>
      <c r="C26" s="2" t="s">
        <v>43</v>
      </c>
      <c r="D26" s="2" t="s">
        <v>66</v>
      </c>
      <c r="E26" s="6">
        <v>1.3620000000000001</v>
      </c>
      <c r="F26" s="6">
        <v>0.10199999999999999</v>
      </c>
      <c r="G26" s="6">
        <v>0.30099999999999999</v>
      </c>
      <c r="H26" s="6">
        <v>0.159</v>
      </c>
      <c r="I26" s="7">
        <v>13</v>
      </c>
      <c r="J26" s="6">
        <v>1.167</v>
      </c>
      <c r="K26" s="7">
        <v>92</v>
      </c>
      <c r="L26" s="7">
        <v>4</v>
      </c>
      <c r="M26" s="7">
        <v>10195</v>
      </c>
      <c r="N26" s="7">
        <v>6132</v>
      </c>
      <c r="O26" s="7"/>
      <c r="P26" s="6">
        <v>0.66200000000000003</v>
      </c>
      <c r="Q26" s="7">
        <v>1845</v>
      </c>
      <c r="R26" s="7">
        <v>764</v>
      </c>
      <c r="S26" s="6">
        <v>1.415</v>
      </c>
      <c r="T26" s="7">
        <v>166.68</v>
      </c>
      <c r="U26" s="6">
        <v>0.13100000000000001</v>
      </c>
      <c r="V26" s="7">
        <v>9481</v>
      </c>
      <c r="W26" s="6">
        <v>0.24199999999999999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3"/>
      <c r="AG26" s="3"/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7">
        <v>0</v>
      </c>
    </row>
    <row r="27" spans="1:39" x14ac:dyDescent="0.25">
      <c r="A27" s="10" t="s">
        <v>65</v>
      </c>
      <c r="B27" s="10" t="s">
        <v>43</v>
      </c>
      <c r="C27" s="4" t="s">
        <v>46</v>
      </c>
      <c r="D27" s="4"/>
      <c r="E27" s="8">
        <v>1.3620000000000001</v>
      </c>
      <c r="F27" s="8">
        <v>0.10199999999999999</v>
      </c>
      <c r="G27" s="8">
        <v>0.30099999999999999</v>
      </c>
      <c r="H27" s="8">
        <v>0.159</v>
      </c>
      <c r="I27" s="9">
        <v>13</v>
      </c>
      <c r="J27" s="8">
        <v>1.167</v>
      </c>
      <c r="K27" s="9">
        <v>92</v>
      </c>
      <c r="L27" s="9">
        <v>4</v>
      </c>
      <c r="M27" s="9">
        <v>10195</v>
      </c>
      <c r="N27" s="9">
        <v>6132</v>
      </c>
      <c r="O27" s="9"/>
      <c r="P27" s="8">
        <v>0.66200000000000003</v>
      </c>
      <c r="Q27" s="9">
        <v>1845</v>
      </c>
      <c r="R27" s="9">
        <v>764</v>
      </c>
      <c r="S27" s="8">
        <v>1.415</v>
      </c>
      <c r="T27" s="9">
        <v>166.68</v>
      </c>
      <c r="U27" s="8">
        <v>0.13100000000000001</v>
      </c>
      <c r="V27" s="9">
        <v>9481</v>
      </c>
      <c r="W27" s="8">
        <v>0.24199999999999999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4"/>
      <c r="AG27" s="4"/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9">
        <v>0</v>
      </c>
    </row>
    <row r="28" spans="1:39" x14ac:dyDescent="0.25">
      <c r="A28" s="10" t="s">
        <v>65</v>
      </c>
      <c r="B28" s="10" t="s">
        <v>47</v>
      </c>
      <c r="C28" s="2" t="s">
        <v>47</v>
      </c>
      <c r="D28" s="2" t="s">
        <v>67</v>
      </c>
      <c r="E28" s="6">
        <v>-0.11</v>
      </c>
      <c r="F28" s="6">
        <v>0.28999999999999998</v>
      </c>
      <c r="G28" s="6">
        <v>0.47499999999999998</v>
      </c>
      <c r="H28" s="6">
        <v>0.47499999999999998</v>
      </c>
      <c r="I28" s="7">
        <v>28</v>
      </c>
      <c r="J28" s="6">
        <v>0.16700000000000001</v>
      </c>
      <c r="K28" s="7">
        <v>72</v>
      </c>
      <c r="L28" s="7">
        <v>10</v>
      </c>
      <c r="M28" s="7">
        <v>10230</v>
      </c>
      <c r="N28" s="7">
        <v>28003</v>
      </c>
      <c r="O28" s="7"/>
      <c r="P28" s="6">
        <v>-0.63500000000000001</v>
      </c>
      <c r="Q28" s="7">
        <v>13305</v>
      </c>
      <c r="R28" s="7">
        <v>9812</v>
      </c>
      <c r="S28" s="6">
        <v>0.35599999999999998</v>
      </c>
      <c r="T28" s="7">
        <v>471.63</v>
      </c>
      <c r="U28" s="6">
        <v>0.219</v>
      </c>
      <c r="V28" s="7">
        <v>24355</v>
      </c>
      <c r="W28" s="6">
        <v>-0.156</v>
      </c>
      <c r="X28" s="6">
        <v>0</v>
      </c>
      <c r="Y28" s="6">
        <v>0.66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3"/>
      <c r="AG28" s="3"/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7">
        <v>0</v>
      </c>
    </row>
    <row r="29" spans="1:39" x14ac:dyDescent="0.25">
      <c r="A29" s="10" t="s">
        <v>65</v>
      </c>
      <c r="B29" s="10" t="s">
        <v>47</v>
      </c>
      <c r="C29" s="4" t="s">
        <v>46</v>
      </c>
      <c r="D29" s="4"/>
      <c r="E29" s="8">
        <v>-0.11</v>
      </c>
      <c r="F29" s="8">
        <v>0.28999999999999998</v>
      </c>
      <c r="G29" s="8">
        <v>0.47499999999999998</v>
      </c>
      <c r="H29" s="8">
        <v>0.47499999999999998</v>
      </c>
      <c r="I29" s="9">
        <v>28</v>
      </c>
      <c r="J29" s="8">
        <v>0.16700000000000001</v>
      </c>
      <c r="K29" s="9">
        <v>72</v>
      </c>
      <c r="L29" s="9">
        <v>10</v>
      </c>
      <c r="M29" s="9">
        <v>10230</v>
      </c>
      <c r="N29" s="9">
        <v>28003</v>
      </c>
      <c r="O29" s="9"/>
      <c r="P29" s="8">
        <v>-0.63500000000000001</v>
      </c>
      <c r="Q29" s="9">
        <v>13305</v>
      </c>
      <c r="R29" s="9">
        <v>9812</v>
      </c>
      <c r="S29" s="8">
        <v>0.35599999999999998</v>
      </c>
      <c r="T29" s="9">
        <v>471.63</v>
      </c>
      <c r="U29" s="8">
        <v>0.219</v>
      </c>
      <c r="V29" s="9">
        <v>24355</v>
      </c>
      <c r="W29" s="8">
        <v>-0.156</v>
      </c>
      <c r="X29" s="8">
        <v>0</v>
      </c>
      <c r="Y29" s="8">
        <v>0.66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4"/>
      <c r="AG29" s="4"/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9">
        <v>0</v>
      </c>
    </row>
    <row r="30" spans="1:39" x14ac:dyDescent="0.25">
      <c r="A30" s="10" t="s">
        <v>65</v>
      </c>
      <c r="B30" s="10" t="s">
        <v>68</v>
      </c>
      <c r="C30" s="2" t="s">
        <v>57</v>
      </c>
      <c r="D30" s="2" t="s">
        <v>69</v>
      </c>
      <c r="E30" s="6">
        <v>0</v>
      </c>
      <c r="F30" s="6">
        <v>1</v>
      </c>
      <c r="G30" s="6">
        <v>0</v>
      </c>
      <c r="H30" s="6">
        <v>0</v>
      </c>
      <c r="I30" s="7">
        <v>0</v>
      </c>
      <c r="J30" s="3"/>
      <c r="K30" s="7">
        <v>0</v>
      </c>
      <c r="L30" s="7">
        <v>-1</v>
      </c>
      <c r="M30" s="7">
        <v>0</v>
      </c>
      <c r="N30" s="7">
        <v>333</v>
      </c>
      <c r="O30" s="7"/>
      <c r="P30" s="6">
        <v>-1</v>
      </c>
      <c r="Q30" s="7">
        <v>0</v>
      </c>
      <c r="R30" s="7">
        <v>0</v>
      </c>
      <c r="S30" s="3"/>
      <c r="T30" s="3"/>
      <c r="U30" s="3"/>
      <c r="V30" s="7">
        <v>178</v>
      </c>
      <c r="W30" s="6">
        <v>-0.26100000000000001</v>
      </c>
      <c r="X30" s="3"/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3"/>
      <c r="AG30" s="3"/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7">
        <v>0</v>
      </c>
    </row>
    <row r="31" spans="1:39" x14ac:dyDescent="0.25">
      <c r="A31" s="10" t="s">
        <v>65</v>
      </c>
      <c r="B31" s="10" t="s">
        <v>68</v>
      </c>
      <c r="C31" s="2" t="s">
        <v>70</v>
      </c>
      <c r="D31" s="2" t="s">
        <v>70</v>
      </c>
      <c r="E31" s="6">
        <v>0.99099999999999999</v>
      </c>
      <c r="F31" s="6">
        <v>0.17299999999999999</v>
      </c>
      <c r="G31" s="6">
        <v>6.3E-2</v>
      </c>
      <c r="H31" s="6">
        <v>5.0999999999999997E-2</v>
      </c>
      <c r="I31" s="7">
        <v>5</v>
      </c>
      <c r="J31" s="6">
        <v>-0.28599999999999998</v>
      </c>
      <c r="K31" s="7">
        <v>48</v>
      </c>
      <c r="L31" s="7">
        <v>-4</v>
      </c>
      <c r="M31" s="7">
        <v>42240</v>
      </c>
      <c r="N31" s="7">
        <v>40055</v>
      </c>
      <c r="O31" s="7"/>
      <c r="P31" s="6">
        <v>5.5E-2</v>
      </c>
      <c r="Q31" s="7">
        <v>2533</v>
      </c>
      <c r="R31" s="7">
        <v>6094</v>
      </c>
      <c r="S31" s="6">
        <v>-0.58399999999999996</v>
      </c>
      <c r="T31" s="7">
        <v>506.64</v>
      </c>
      <c r="U31" s="6">
        <v>-0.41799999999999998</v>
      </c>
      <c r="V31" s="7">
        <v>41120</v>
      </c>
      <c r="W31" s="6">
        <v>-5.6000000000000001E-2</v>
      </c>
      <c r="X31" s="6">
        <v>0.04</v>
      </c>
      <c r="Y31" s="6">
        <v>0.88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3"/>
      <c r="AG31" s="3"/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7">
        <v>0</v>
      </c>
    </row>
    <row r="32" spans="1:39" x14ac:dyDescent="0.25">
      <c r="A32" s="10" t="s">
        <v>65</v>
      </c>
      <c r="B32" s="10" t="s">
        <v>68</v>
      </c>
      <c r="C32" s="4" t="s">
        <v>46</v>
      </c>
      <c r="D32" s="4"/>
      <c r="E32" s="8">
        <v>0.98299999999999998</v>
      </c>
      <c r="F32" s="8">
        <v>0.189</v>
      </c>
      <c r="G32" s="8">
        <v>6.3E-2</v>
      </c>
      <c r="H32" s="8">
        <v>5.0999999999999997E-2</v>
      </c>
      <c r="I32" s="9">
        <v>5</v>
      </c>
      <c r="J32" s="8">
        <v>-0.28599999999999998</v>
      </c>
      <c r="K32" s="9">
        <v>48</v>
      </c>
      <c r="L32" s="9">
        <v>-5</v>
      </c>
      <c r="M32" s="9">
        <v>42240</v>
      </c>
      <c r="N32" s="9">
        <v>40388</v>
      </c>
      <c r="O32" s="9"/>
      <c r="P32" s="8">
        <v>4.5999999999999999E-2</v>
      </c>
      <c r="Q32" s="9">
        <v>2533</v>
      </c>
      <c r="R32" s="9">
        <v>6094</v>
      </c>
      <c r="S32" s="8">
        <v>-0.58399999999999996</v>
      </c>
      <c r="T32" s="9">
        <v>506.64</v>
      </c>
      <c r="U32" s="8">
        <v>-0.41799999999999998</v>
      </c>
      <c r="V32" s="9">
        <v>41298</v>
      </c>
      <c r="W32" s="8">
        <v>-5.7000000000000002E-2</v>
      </c>
      <c r="X32" s="8">
        <v>0.04</v>
      </c>
      <c r="Y32" s="8">
        <v>0.876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4"/>
      <c r="AG32" s="4"/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9">
        <v>0</v>
      </c>
    </row>
    <row r="33" spans="1:39" x14ac:dyDescent="0.25">
      <c r="A33" s="10" t="s">
        <v>65</v>
      </c>
      <c r="B33" s="10" t="s">
        <v>71</v>
      </c>
      <c r="C33" s="2" t="s">
        <v>59</v>
      </c>
      <c r="D33" s="2" t="s">
        <v>72</v>
      </c>
      <c r="E33" s="6">
        <v>0.95199999999999996</v>
      </c>
      <c r="F33" s="6">
        <v>0.08</v>
      </c>
      <c r="G33" s="6">
        <v>0.114</v>
      </c>
      <c r="H33" s="6">
        <v>8.6999999999999994E-2</v>
      </c>
      <c r="I33" s="7">
        <v>7</v>
      </c>
      <c r="J33" s="6">
        <v>0.16700000000000001</v>
      </c>
      <c r="K33" s="7">
        <v>53</v>
      </c>
      <c r="L33" s="7">
        <v>3</v>
      </c>
      <c r="M33" s="7">
        <v>47030</v>
      </c>
      <c r="N33" s="7">
        <v>44127</v>
      </c>
      <c r="O33" s="7"/>
      <c r="P33" s="6">
        <v>6.6000000000000003E-2</v>
      </c>
      <c r="Q33" s="7">
        <v>5016</v>
      </c>
      <c r="R33" s="7">
        <v>2624</v>
      </c>
      <c r="S33" s="6">
        <v>0.91200000000000003</v>
      </c>
      <c r="T33" s="7">
        <v>716.64</v>
      </c>
      <c r="U33" s="6">
        <v>0.373</v>
      </c>
      <c r="V33" s="7">
        <v>44279</v>
      </c>
      <c r="W33" s="6">
        <v>6.0000000000000001E-3</v>
      </c>
      <c r="X33" s="6">
        <v>1.2E-2</v>
      </c>
      <c r="Y33" s="6">
        <v>3.4000000000000002E-2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3"/>
      <c r="AG33" s="3"/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7">
        <v>0</v>
      </c>
    </row>
    <row r="34" spans="1:39" x14ac:dyDescent="0.25">
      <c r="A34" s="10" t="s">
        <v>65</v>
      </c>
      <c r="B34" s="10" t="s">
        <v>71</v>
      </c>
      <c r="C34" s="4" t="s">
        <v>46</v>
      </c>
      <c r="D34" s="4"/>
      <c r="E34" s="8">
        <v>0.95199999999999996</v>
      </c>
      <c r="F34" s="8">
        <v>0.08</v>
      </c>
      <c r="G34" s="8">
        <v>0.114</v>
      </c>
      <c r="H34" s="8">
        <v>8.6999999999999994E-2</v>
      </c>
      <c r="I34" s="9">
        <v>7</v>
      </c>
      <c r="J34" s="8">
        <v>0.16700000000000001</v>
      </c>
      <c r="K34" s="9">
        <v>53</v>
      </c>
      <c r="L34" s="9">
        <v>3</v>
      </c>
      <c r="M34" s="9">
        <v>47030</v>
      </c>
      <c r="N34" s="9">
        <v>44127</v>
      </c>
      <c r="O34" s="9"/>
      <c r="P34" s="8">
        <v>6.6000000000000003E-2</v>
      </c>
      <c r="Q34" s="9">
        <v>5016</v>
      </c>
      <c r="R34" s="9">
        <v>2624</v>
      </c>
      <c r="S34" s="8">
        <v>0.91200000000000003</v>
      </c>
      <c r="T34" s="9">
        <v>716.64</v>
      </c>
      <c r="U34" s="8">
        <v>0.373</v>
      </c>
      <c r="V34" s="9">
        <v>44279</v>
      </c>
      <c r="W34" s="8">
        <v>6.0000000000000001E-3</v>
      </c>
      <c r="X34" s="8">
        <v>1.2E-2</v>
      </c>
      <c r="Y34" s="8">
        <v>3.4000000000000002E-2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4"/>
      <c r="AG34" s="4"/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9">
        <v>0</v>
      </c>
    </row>
    <row r="35" spans="1:39" x14ac:dyDescent="0.25">
      <c r="A35" s="10" t="s">
        <v>65</v>
      </c>
      <c r="B35" s="10" t="s">
        <v>73</v>
      </c>
      <c r="C35" s="2" t="s">
        <v>74</v>
      </c>
      <c r="D35" s="2" t="s">
        <v>75</v>
      </c>
      <c r="E35" s="6">
        <v>0.94499999999999995</v>
      </c>
      <c r="F35" s="6">
        <v>0</v>
      </c>
      <c r="G35" s="6">
        <v>0.05</v>
      </c>
      <c r="H35" s="6">
        <v>0.05</v>
      </c>
      <c r="I35" s="7">
        <v>1</v>
      </c>
      <c r="J35" s="6">
        <v>-0.5</v>
      </c>
      <c r="K35" s="7">
        <v>15</v>
      </c>
      <c r="L35" s="7">
        <v>1</v>
      </c>
      <c r="M35" s="7">
        <v>6156</v>
      </c>
      <c r="N35" s="7">
        <v>6190</v>
      </c>
      <c r="O35" s="7"/>
      <c r="P35" s="6">
        <v>-6.0000000000000001E-3</v>
      </c>
      <c r="Q35" s="7">
        <v>307</v>
      </c>
      <c r="R35" s="7">
        <v>625</v>
      </c>
      <c r="S35" s="6">
        <v>-0.50800000000000001</v>
      </c>
      <c r="T35" s="7">
        <v>56115.1</v>
      </c>
      <c r="U35" s="6">
        <v>90.575999999999993</v>
      </c>
      <c r="V35" s="7">
        <v>4954</v>
      </c>
      <c r="W35" s="6">
        <v>2E-3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/>
      <c r="AG35" s="3"/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7">
        <v>0</v>
      </c>
    </row>
    <row r="36" spans="1:39" x14ac:dyDescent="0.25">
      <c r="A36" s="10" t="s">
        <v>65</v>
      </c>
      <c r="B36" s="10" t="s">
        <v>73</v>
      </c>
      <c r="C36" s="4" t="s">
        <v>46</v>
      </c>
      <c r="D36" s="4"/>
      <c r="E36" s="8">
        <v>0.94499999999999995</v>
      </c>
      <c r="F36" s="8">
        <v>0</v>
      </c>
      <c r="G36" s="8">
        <v>0.05</v>
      </c>
      <c r="H36" s="8">
        <v>0.05</v>
      </c>
      <c r="I36" s="9">
        <v>1</v>
      </c>
      <c r="J36" s="8">
        <v>-0.5</v>
      </c>
      <c r="K36" s="9">
        <v>15</v>
      </c>
      <c r="L36" s="9">
        <v>1</v>
      </c>
      <c r="M36" s="9">
        <v>6156</v>
      </c>
      <c r="N36" s="9">
        <v>6190</v>
      </c>
      <c r="O36" s="9"/>
      <c r="P36" s="8">
        <v>-6.0000000000000001E-3</v>
      </c>
      <c r="Q36" s="9">
        <v>307</v>
      </c>
      <c r="R36" s="9">
        <v>625</v>
      </c>
      <c r="S36" s="8">
        <v>-0.50800000000000001</v>
      </c>
      <c r="T36" s="9">
        <v>56115.1</v>
      </c>
      <c r="U36" s="8">
        <v>90.575999999999993</v>
      </c>
      <c r="V36" s="9">
        <v>4954</v>
      </c>
      <c r="W36" s="8">
        <v>2E-3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4"/>
      <c r="AG36" s="4"/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9">
        <v>0</v>
      </c>
    </row>
    <row r="37" spans="1:39" x14ac:dyDescent="0.25">
      <c r="A37" s="10" t="s">
        <v>65</v>
      </c>
      <c r="B37" s="10" t="s">
        <v>50</v>
      </c>
      <c r="C37" s="2" t="s">
        <v>76</v>
      </c>
      <c r="D37" s="2" t="s">
        <v>76</v>
      </c>
      <c r="E37" s="6">
        <v>0.94099999999999995</v>
      </c>
      <c r="F37" s="6">
        <v>0.1</v>
      </c>
      <c r="G37" s="6">
        <v>6.4000000000000001E-2</v>
      </c>
      <c r="H37" s="6">
        <v>0</v>
      </c>
      <c r="I37" s="7">
        <v>2</v>
      </c>
      <c r="J37" s="6">
        <v>-0.75</v>
      </c>
      <c r="K37" s="7">
        <v>65</v>
      </c>
      <c r="L37" s="7">
        <v>-5</v>
      </c>
      <c r="M37" s="7">
        <v>23936</v>
      </c>
      <c r="N37" s="7">
        <v>23806</v>
      </c>
      <c r="O37" s="7"/>
      <c r="P37" s="6">
        <v>5.0000000000000001E-3</v>
      </c>
      <c r="Q37" s="7">
        <v>1527</v>
      </c>
      <c r="R37" s="7">
        <v>3952</v>
      </c>
      <c r="S37" s="6">
        <v>-0.61299999999999999</v>
      </c>
      <c r="T37" s="7">
        <v>763.72</v>
      </c>
      <c r="U37" s="6">
        <v>0.54600000000000004</v>
      </c>
      <c r="V37" s="7">
        <v>26499</v>
      </c>
      <c r="W37" s="6">
        <v>8.0000000000000002E-3</v>
      </c>
      <c r="X37" s="6">
        <v>0</v>
      </c>
      <c r="Y37" s="6">
        <v>1.3140000000000001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/>
      <c r="AG37" s="3"/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7">
        <v>0</v>
      </c>
    </row>
    <row r="38" spans="1:39" x14ac:dyDescent="0.25">
      <c r="A38" s="10" t="s">
        <v>65</v>
      </c>
      <c r="B38" s="10" t="s">
        <v>50</v>
      </c>
      <c r="C38" s="2" t="s">
        <v>77</v>
      </c>
      <c r="D38" s="2" t="s">
        <v>77</v>
      </c>
      <c r="E38" s="6">
        <v>0.95299999999999996</v>
      </c>
      <c r="F38" s="6">
        <v>0.125</v>
      </c>
      <c r="G38" s="6">
        <v>0.20300000000000001</v>
      </c>
      <c r="H38" s="6">
        <v>0.14199999999999999</v>
      </c>
      <c r="I38" s="7">
        <v>4</v>
      </c>
      <c r="J38" s="6">
        <v>3</v>
      </c>
      <c r="K38" s="7">
        <v>32</v>
      </c>
      <c r="L38" s="7">
        <v>0</v>
      </c>
      <c r="M38" s="7">
        <v>6570</v>
      </c>
      <c r="N38" s="7">
        <v>5685</v>
      </c>
      <c r="O38" s="7"/>
      <c r="P38" s="6">
        <v>0.156</v>
      </c>
      <c r="Q38" s="7">
        <v>1154</v>
      </c>
      <c r="R38" s="7">
        <v>188</v>
      </c>
      <c r="S38" s="6">
        <v>5.1429999999999998</v>
      </c>
      <c r="T38" s="7">
        <v>288.54000000000002</v>
      </c>
      <c r="U38" s="6">
        <v>0.53600000000000003</v>
      </c>
      <c r="V38" s="7">
        <v>6008</v>
      </c>
      <c r="W38" s="6">
        <v>8.7999999999999995E-2</v>
      </c>
      <c r="X38" s="6">
        <v>0</v>
      </c>
      <c r="Y38" s="6">
        <v>0.47899999999999998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3"/>
      <c r="AG38" s="3"/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7">
        <v>0</v>
      </c>
    </row>
    <row r="39" spans="1:39" x14ac:dyDescent="0.25">
      <c r="A39" s="10" t="s">
        <v>65</v>
      </c>
      <c r="B39" s="10" t="s">
        <v>50</v>
      </c>
      <c r="C39" s="4" t="s">
        <v>46</v>
      </c>
      <c r="D39" s="4"/>
      <c r="E39" s="8">
        <v>0.94299999999999995</v>
      </c>
      <c r="F39" s="8">
        <v>0.108</v>
      </c>
      <c r="G39" s="8">
        <v>9.0999999999999998E-2</v>
      </c>
      <c r="H39" s="8">
        <v>2.7E-2</v>
      </c>
      <c r="I39" s="9">
        <v>6</v>
      </c>
      <c r="J39" s="8">
        <v>-0.33300000000000002</v>
      </c>
      <c r="K39" s="9">
        <v>97</v>
      </c>
      <c r="L39" s="9">
        <v>-5</v>
      </c>
      <c r="M39" s="9">
        <v>30506</v>
      </c>
      <c r="N39" s="9">
        <v>29491</v>
      </c>
      <c r="O39" s="9"/>
      <c r="P39" s="8">
        <v>3.4000000000000002E-2</v>
      </c>
      <c r="Q39" s="9">
        <v>2682</v>
      </c>
      <c r="R39" s="9">
        <v>4139</v>
      </c>
      <c r="S39" s="8">
        <v>-0.35199999999999998</v>
      </c>
      <c r="T39" s="9">
        <v>446.93</v>
      </c>
      <c r="U39" s="8">
        <v>-2.8000000000000001E-2</v>
      </c>
      <c r="V39" s="9">
        <v>32506</v>
      </c>
      <c r="W39" s="8">
        <v>2.1999999999999999E-2</v>
      </c>
      <c r="X39" s="8">
        <v>0</v>
      </c>
      <c r="Y39" s="8">
        <v>1.159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4"/>
      <c r="AG39" s="4"/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9">
        <v>0</v>
      </c>
    </row>
    <row r="40" spans="1:39" ht="33.75" x14ac:dyDescent="0.25">
      <c r="A40" s="10" t="s">
        <v>65</v>
      </c>
      <c r="B40" s="10" t="s">
        <v>78</v>
      </c>
      <c r="C40" s="2" t="s">
        <v>78</v>
      </c>
      <c r="D40" s="2" t="s">
        <v>79</v>
      </c>
      <c r="E40" s="6">
        <v>0.72699999999999998</v>
      </c>
      <c r="F40" s="6">
        <v>0.222</v>
      </c>
      <c r="G40" s="6">
        <v>8.8999999999999996E-2</v>
      </c>
      <c r="H40" s="6">
        <v>0</v>
      </c>
      <c r="I40" s="7">
        <v>1</v>
      </c>
      <c r="J40" s="6">
        <v>-0.5</v>
      </c>
      <c r="K40" s="7">
        <v>8</v>
      </c>
      <c r="L40" s="7">
        <v>-1</v>
      </c>
      <c r="M40" s="7">
        <v>3323</v>
      </c>
      <c r="N40" s="7">
        <v>4076</v>
      </c>
      <c r="O40" s="7"/>
      <c r="P40" s="6">
        <v>-0.185</v>
      </c>
      <c r="Q40" s="7">
        <v>361</v>
      </c>
      <c r="R40" s="7">
        <v>406</v>
      </c>
      <c r="S40" s="6">
        <v>-0.11</v>
      </c>
      <c r="T40" s="7">
        <v>361.2</v>
      </c>
      <c r="U40" s="6">
        <v>-6.4000000000000001E-2</v>
      </c>
      <c r="V40" s="7">
        <v>3800</v>
      </c>
      <c r="W40" s="6">
        <v>-0.16500000000000001</v>
      </c>
      <c r="X40" s="6">
        <v>3.2000000000000001E-2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3"/>
      <c r="AG40" s="3"/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0</v>
      </c>
    </row>
    <row r="41" spans="1:39" x14ac:dyDescent="0.25">
      <c r="A41" s="10" t="s">
        <v>65</v>
      </c>
      <c r="B41" s="10" t="s">
        <v>78</v>
      </c>
      <c r="C41" s="4" t="s">
        <v>46</v>
      </c>
      <c r="D41" s="4"/>
      <c r="E41" s="8">
        <v>0.72699999999999998</v>
      </c>
      <c r="F41" s="8">
        <v>0.222</v>
      </c>
      <c r="G41" s="8">
        <v>8.8999999999999996E-2</v>
      </c>
      <c r="H41" s="8">
        <v>0</v>
      </c>
      <c r="I41" s="9">
        <v>1</v>
      </c>
      <c r="J41" s="8">
        <v>-0.5</v>
      </c>
      <c r="K41" s="9">
        <v>8</v>
      </c>
      <c r="L41" s="9">
        <v>-1</v>
      </c>
      <c r="M41" s="9">
        <v>3323</v>
      </c>
      <c r="N41" s="9">
        <v>4076</v>
      </c>
      <c r="O41" s="9"/>
      <c r="P41" s="8">
        <v>-0.185</v>
      </c>
      <c r="Q41" s="9">
        <v>361</v>
      </c>
      <c r="R41" s="9">
        <v>406</v>
      </c>
      <c r="S41" s="8">
        <v>-0.11</v>
      </c>
      <c r="T41" s="9">
        <v>361.2</v>
      </c>
      <c r="U41" s="8">
        <v>-6.4000000000000001E-2</v>
      </c>
      <c r="V41" s="9">
        <v>3800</v>
      </c>
      <c r="W41" s="8">
        <v>-0.16500000000000001</v>
      </c>
      <c r="X41" s="8">
        <v>3.2000000000000001E-2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4"/>
      <c r="AG41" s="4"/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9">
        <v>0</v>
      </c>
    </row>
    <row r="42" spans="1:39" x14ac:dyDescent="0.25">
      <c r="A42" s="10" t="s">
        <v>65</v>
      </c>
      <c r="B42" s="4" t="s">
        <v>46</v>
      </c>
      <c r="C42" s="4"/>
      <c r="D42" s="4"/>
      <c r="E42" s="8">
        <v>0.78</v>
      </c>
      <c r="F42" s="8">
        <v>0.14299999999999999</v>
      </c>
      <c r="G42" s="8">
        <v>0.16400000000000001</v>
      </c>
      <c r="H42" s="8">
        <v>0.13400000000000001</v>
      </c>
      <c r="I42" s="9">
        <v>61</v>
      </c>
      <c r="J42" s="8">
        <v>8.8999999999999996E-2</v>
      </c>
      <c r="K42" s="9">
        <v>385</v>
      </c>
      <c r="L42" s="9">
        <v>7</v>
      </c>
      <c r="M42" s="9">
        <v>149680</v>
      </c>
      <c r="N42" s="9">
        <v>158407</v>
      </c>
      <c r="O42" s="9"/>
      <c r="P42" s="8">
        <v>-5.5E-2</v>
      </c>
      <c r="Q42" s="9">
        <v>26050</v>
      </c>
      <c r="R42" s="9">
        <v>24464</v>
      </c>
      <c r="S42" s="8">
        <v>6.5000000000000002E-2</v>
      </c>
      <c r="T42" s="9">
        <v>446.94</v>
      </c>
      <c r="U42" s="8">
        <v>-0.02</v>
      </c>
      <c r="V42" s="9">
        <v>160673</v>
      </c>
      <c r="W42" s="8">
        <v>-0.03</v>
      </c>
      <c r="X42" s="8">
        <v>1.4E-2</v>
      </c>
      <c r="Y42" s="8">
        <v>0.56899999999999995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4"/>
      <c r="AG42" s="4"/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9">
        <v>0</v>
      </c>
    </row>
    <row r="43" spans="1:39" x14ac:dyDescent="0.25">
      <c r="A43" s="2" t="s">
        <v>80</v>
      </c>
      <c r="B43" s="2" t="s">
        <v>80</v>
      </c>
      <c r="C43" s="2" t="s">
        <v>80</v>
      </c>
      <c r="D43" s="2" t="s">
        <v>80</v>
      </c>
      <c r="E43" s="8">
        <v>0.88400000000000001</v>
      </c>
      <c r="F43" s="8">
        <v>0.1</v>
      </c>
      <c r="G43" s="8">
        <v>0.13400000000000001</v>
      </c>
      <c r="H43" s="8">
        <v>9.6000000000000002E-2</v>
      </c>
      <c r="I43" s="9">
        <v>537</v>
      </c>
      <c r="J43" s="8">
        <v>0.307</v>
      </c>
      <c r="K43" s="9">
        <v>4303</v>
      </c>
      <c r="L43" s="9">
        <v>118</v>
      </c>
      <c r="M43" s="9">
        <v>1074251</v>
      </c>
      <c r="N43" s="9">
        <v>1055337</v>
      </c>
      <c r="O43" s="9">
        <f>+M43-N43</f>
        <v>18914</v>
      </c>
      <c r="P43" s="8">
        <v>1.7999999999999999E-2</v>
      </c>
      <c r="Q43" s="9">
        <v>141501</v>
      </c>
      <c r="R43" s="9">
        <v>126213</v>
      </c>
      <c r="S43" s="8">
        <v>0.121</v>
      </c>
      <c r="T43" s="9">
        <v>274.83</v>
      </c>
      <c r="U43" s="8">
        <v>-0.155</v>
      </c>
      <c r="V43" s="9">
        <v>1055797</v>
      </c>
      <c r="W43" s="8">
        <v>1.7999999999999999E-2</v>
      </c>
      <c r="X43" s="8">
        <v>1.2999999999999999E-2</v>
      </c>
      <c r="Y43" s="8">
        <v>0.72599999999999998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4"/>
      <c r="AG43" s="4"/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9">
        <v>0</v>
      </c>
    </row>
    <row r="45" spans="1:39" x14ac:dyDescent="0.25">
      <c r="A45" t="s">
        <v>0</v>
      </c>
      <c r="B45" t="s">
        <v>0</v>
      </c>
      <c r="C45" t="s">
        <v>0</v>
      </c>
    </row>
    <row r="46" spans="1:39" x14ac:dyDescent="0.25">
      <c r="A46" s="5" t="s">
        <v>1</v>
      </c>
      <c r="B46" s="5" t="s">
        <v>2</v>
      </c>
    </row>
  </sheetData>
  <mergeCells count="18">
    <mergeCell ref="B30:B32"/>
    <mergeCell ref="B33:B34"/>
    <mergeCell ref="B35:B36"/>
    <mergeCell ref="B37:B39"/>
    <mergeCell ref="B40:B41"/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16:B22"/>
    <mergeCell ref="B23:B24"/>
    <mergeCell ref="B26:B27"/>
    <mergeCell ref="B28:B29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22-742776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2022-10-14T12:03:24Z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2022-10-04T14:53:52Z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5c6a3ade-a963-44c9-ad06-e976d731a30f</vt:lpwstr>
  </property>
  <property fmtid="{D5CDD505-2E9C-101B-9397-08002B2CF9AE}" pid="10" name="MSIP_Label_432d5f8a-12aa-48f4-ac09-593b02e41a00_ContentBits">
    <vt:lpwstr>2</vt:lpwstr>
  </property>
</Properties>
</file>