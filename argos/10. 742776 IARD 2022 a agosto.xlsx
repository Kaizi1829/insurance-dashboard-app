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V3M\Miguel\01. V3M\02. ADMINISTRACION AXA\02. ANALISIS MPA Y ARGOS\2022\01. ARGOS\"/>
    </mc:Choice>
  </mc:AlternateContent>
  <xr:revisionPtr revIDLastSave="0" documentId="13_ncr:1_{304605D2-D867-4D17-A0D8-1545EDAA9D8B}" xr6:coauthVersionLast="47" xr6:coauthVersionMax="47" xr10:uidLastSave="{00000000-0000-0000-0000-000000000000}"/>
  <bookViews>
    <workbookView xWindow="30" yWindow="75" windowWidth="28770" windowHeight="15405" firstSheet="6" activeTab="16" xr2:uid="{882FD3A3-25B6-4B70-AC89-603987E76F45}"/>
  </bookViews>
  <sheets>
    <sheet name="DICIEMBRE 2021" sheetId="1" r:id="rId1"/>
    <sheet name="DICIEMBRE COR 2021" sheetId="2" r:id="rId2"/>
    <sheet name="ENERO" sheetId="3" r:id="rId3"/>
    <sheet name="ENERO COR" sheetId="6" r:id="rId4"/>
    <sheet name="FEBRERO" sheetId="5" r:id="rId5"/>
    <sheet name="FEBRERO COR" sheetId="7" r:id="rId6"/>
    <sheet name="MARZO" sheetId="8" r:id="rId7"/>
    <sheet name="MARZO COR" sheetId="10" r:id="rId8"/>
    <sheet name="ABRIL" sheetId="9" r:id="rId9"/>
    <sheet name="ABRIL COR" sheetId="12" r:id="rId10"/>
    <sheet name="MAYO" sheetId="11" r:id="rId11"/>
    <sheet name="JUNIO" sheetId="13" r:id="rId12"/>
    <sheet name="MAYO COR" sheetId="14" r:id="rId13"/>
    <sheet name="JUNIO COR" sheetId="16" r:id="rId14"/>
    <sheet name="JULIO" sheetId="15" r:id="rId15"/>
    <sheet name="JULIO COR" sheetId="18" r:id="rId16"/>
    <sheet name="AGOSTO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1" i="17" l="1"/>
  <c r="O11" i="18"/>
  <c r="O7" i="15" l="1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8" i="13" l="1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7" i="13"/>
  <c r="O7" i="9" l="1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8" i="5" l="1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7" i="5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2" i="1" l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</calcChain>
</file>

<file path=xl/sharedStrings.xml><?xml version="1.0" encoding="utf-8"?>
<sst xmlns="http://schemas.openxmlformats.org/spreadsheetml/2006/main" count="4130" uniqueCount="115">
  <si>
    <t>Total a 202112</t>
  </si>
  <si>
    <t/>
  </si>
  <si>
    <t>Negocio</t>
  </si>
  <si>
    <t>Agrup ramo</t>
  </si>
  <si>
    <t>Ramo</t>
  </si>
  <si>
    <t>Subramo</t>
  </si>
  <si>
    <t>% Renov. PRIMAS</t>
  </si>
  <si>
    <t>% Caída Polizas</t>
  </si>
  <si>
    <t>% Tasa NP</t>
  </si>
  <si>
    <t>% Tasa NP M.Equip.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</si>
  <si>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</si>
  <si>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</si>
  <si>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</si>
  <si>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</si>
  <si>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</si>
  <si>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</si>
  <si>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</si>
  <si>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</si>
  <si>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%Var. GWPNP</t>
  </si>
  <si>
    <t>GWPNP Media</t>
  </si>
  <si>
    <t>%Var GWPNP Media</t>
  </si>
  <si>
    <t>Primas Adq.</t>
  </si>
  <si>
    <t>%Var P.Adq</t>
  </si>
  <si>
    <t>%PTE</t>
  </si>
  <si>
    <t>Siniestralidad sin_IBNR</t>
  </si>
  <si>
    <t>SCCY</t>
  </si>
  <si>
    <t>SCCY Ant</t>
  </si>
  <si>
    <t>Dif.</t>
  </si>
  <si>
    <t>SCCY Leves</t>
  </si>
  <si>
    <t>SCCY Leves Ant</t>
  </si>
  <si>
    <t>SP NP</t>
  </si>
  <si>
    <t>SP Ant</t>
  </si>
  <si>
    <t>SCCY + C.Adq</t>
  </si>
  <si>
    <t>SCCY + C.Adq Ant.</t>
  </si>
  <si>
    <t>Dif</t>
  </si>
  <si>
    <t>COR</t>
  </si>
  <si>
    <t>Margen YTD</t>
  </si>
  <si>
    <t>PARTICULARES</t>
  </si>
  <si>
    <t>ACC+DEC</t>
  </si>
  <si>
    <t>ACCIDENTES</t>
  </si>
  <si>
    <t>ACCIND</t>
  </si>
  <si>
    <t>DECESOS</t>
  </si>
  <si>
    <t>Subtotal</t>
  </si>
  <si>
    <t>AUTO</t>
  </si>
  <si>
    <t>RESTO AUTO</t>
  </si>
  <si>
    <t>HOGAR</t>
  </si>
  <si>
    <t>RESTO MULTIS</t>
  </si>
  <si>
    <t>COMUNIDADES</t>
  </si>
  <si>
    <t>RESTO PARTICULARES</t>
  </si>
  <si>
    <t>ASIS</t>
  </si>
  <si>
    <t>OTROS RAMOS</t>
  </si>
  <si>
    <t>EMB. RECREO</t>
  </si>
  <si>
    <t>EMB RECREO</t>
  </si>
  <si>
    <t>INCENDIO</t>
  </si>
  <si>
    <t>INCRPART</t>
  </si>
  <si>
    <t>RCIVIL</t>
  </si>
  <si>
    <t>RCCAZA</t>
  </si>
  <si>
    <t>RCPAR</t>
  </si>
  <si>
    <t>VARIOS</t>
  </si>
  <si>
    <t>SALUD</t>
  </si>
  <si>
    <t>SALUDIND</t>
  </si>
  <si>
    <t>EMPRESAS</t>
  </si>
  <si>
    <t>ACCCOL</t>
  </si>
  <si>
    <t>FLOTAS</t>
  </si>
  <si>
    <t>DAÑOS</t>
  </si>
  <si>
    <t>INDUSTRIA</t>
  </si>
  <si>
    <t>RC</t>
  </si>
  <si>
    <t>RCEMP</t>
  </si>
  <si>
    <t>RESTO EMPRESAS</t>
  </si>
  <si>
    <t>INGENIERIA</t>
  </si>
  <si>
    <t>OTROS ING.</t>
  </si>
  <si>
    <t>COMERCIO</t>
  </si>
  <si>
    <t>OFICINAS</t>
  </si>
  <si>
    <t>TRANSPORTES</t>
  </si>
  <si>
    <t>RESTO TRANSPORTES</t>
  </si>
  <si>
    <t>Total general</t>
  </si>
  <si>
    <t xml:space="preserve"> </t>
  </si>
  <si>
    <t>2022-01-04</t>
  </si>
  <si>
    <t>14:07:13</t>
  </si>
  <si>
    <t>07:55:30</t>
  </si>
  <si>
    <t>2022-02-04</t>
  </si>
  <si>
    <t>POOLS</t>
  </si>
  <si>
    <t>07:57:15</t>
  </si>
  <si>
    <t>Total a 202201</t>
  </si>
  <si>
    <t>2022-03-07</t>
  </si>
  <si>
    <t>Total a 202202</t>
  </si>
  <si>
    <t>12:21:17</t>
  </si>
  <si>
    <t>13:24:48</t>
  </si>
  <si>
    <t>11:26:04</t>
  </si>
  <si>
    <t>2022-03-21</t>
  </si>
  <si>
    <t>12:50:40</t>
  </si>
  <si>
    <t>2022-04-07</t>
  </si>
  <si>
    <t>GWPNPA</t>
  </si>
  <si>
    <t>Total a 202203</t>
  </si>
  <si>
    <t>13:20:26</t>
  </si>
  <si>
    <t>2022-05-05</t>
  </si>
  <si>
    <t>Total a 202204</t>
  </si>
  <si>
    <t>13:38:27</t>
  </si>
  <si>
    <t>13:09:12</t>
  </si>
  <si>
    <t>2022-06-08</t>
  </si>
  <si>
    <t>Total a 202205</t>
  </si>
  <si>
    <t>13:12:26</t>
  </si>
  <si>
    <t>09:50:24</t>
  </si>
  <si>
    <t>2022-07-13</t>
  </si>
  <si>
    <t>INCRE</t>
  </si>
  <si>
    <t>Total a 202206</t>
  </si>
  <si>
    <t>09:51:55</t>
  </si>
  <si>
    <t>12:08:52</t>
  </si>
  <si>
    <t>2022-08-11</t>
  </si>
  <si>
    <t>Total a 202207</t>
  </si>
  <si>
    <t>12:15:44</t>
  </si>
  <si>
    <t>08:36:30</t>
  </si>
  <si>
    <t>2022-09-02</t>
  </si>
  <si>
    <t>Total a 202208</t>
  </si>
  <si>
    <t>08:40:19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</si>
</sst>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indexed="56"/>
      <name val="Arial"/>
      <family val="2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0" fontId="4" fillId="0" borderId="2" xfId="0" applyNumberFormat="1" applyFont="1" applyBorder="1"/>
    <xf numFmtId="4" fontId="4" fillId="0" borderId="2" xfId="0" applyNumberFormat="1" applyFont="1" applyBorder="1"/>
    <xf numFmtId="0" fontId="5" fillId="5" borderId="2" xfId="0" applyFont="1" applyFill="1" applyBorder="1" applyAlignment="1">
      <alignment horizontal="right" vertical="center" wrapText="1"/>
    </xf>
    <xf numFmtId="10" fontId="5" fillId="5" borderId="2" xfId="0" applyNumberFormat="1" applyFont="1" applyFill="1" applyBorder="1"/>
    <xf numFmtId="4" fontId="5" fillId="5" borderId="2" xfId="0" applyNumberFormat="1" applyFont="1" applyFill="1" applyBorder="1"/>
    <xf numFmtId="0" fontId="4" fillId="0" borderId="2" xfId="0" applyFont="1" applyBorder="1" applyAlignment="1">
      <alignment horizontal="right" vertical="center" wrapText="1"/>
    </xf>
    <xf numFmtId="0" fontId="6" fillId="3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/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1E1D4291-A711-460B-A764-8B5A561BB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3B1D8CA9-6CB7-4EA0-AB78-0AA774517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70DC0AB-17D7-4A85-88F3-BB679CD31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5B670B56-CDFA-4EEB-A08C-27F3C2EC5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425BF5DD-6BAD-4A26-83E0-4630AE06E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60D514AA-87BB-4E7E-816A-8256245D9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2D8ACB10-B8A2-48B6-9E95-B401A0EF6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13AAED10-18D5-4CE5-9A5D-7BA4BE306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81FA956-7F76-4164-AC2A-54BF7819A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F13B25D9-70E1-4DC2-83B6-AAA942A8B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7D2F7282-38CC-4C6E-AB9C-47DD772C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EFD0F5D-4765-47EA-A509-E5D90DAD3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A06BA625-82F2-4A21-8267-B48AA4B22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1CE7713E-CCC4-43ED-B4BC-BB199E664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605A9C82-CD1A-4B3C-9A25-B24913212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A5CC229-C65F-49C1-8505-C31B16FD3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26177582-89AC-4873-933F-A23C28E2B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2AAD-E5B1-48D4-ACC2-BAE41F13C9A6}">
  <dimension ref="A4:AL45"/>
  <sheetViews>
    <sheetView topLeftCell="A26" workbookViewId="0">
      <selection activeCell="D41" sqref="D41"/>
    </sheetView>
  </sheetViews>
  <sheetFormatPr baseColWidth="10" defaultRowHeight="15" x14ac:dyDescent="0.25"/>
  <sheetData>
    <row r="4" spans="1:38" ht="20.25" x14ac:dyDescent="0.25">
      <c r="A4" s="10" t="s">
        <v>0</v>
      </c>
      <c r="B4" s="10" t="s">
        <v>0</v>
      </c>
      <c r="C4" s="10" t="s">
        <v>0</v>
      </c>
      <c r="D4" s="10" t="s">
        <v>0</v>
      </c>
      <c r="E4" s="10" t="s">
        <v>0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/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0" t="s">
        <v>0</v>
      </c>
      <c r="AF4" s="10" t="s">
        <v>0</v>
      </c>
      <c r="AG4" s="10" t="s">
        <v>0</v>
      </c>
      <c r="AH4" s="10" t="s">
        <v>0</v>
      </c>
      <c r="AI4" s="10" t="s">
        <v>0</v>
      </c>
      <c r="AJ4" s="10" t="s">
        <v>0</v>
      </c>
      <c r="AK4" s="10" t="s">
        <v>0</v>
      </c>
      <c r="AL4" s="10" t="s">
        <v>0</v>
      </c>
    </row>
    <row r="5" spans="1:38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/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1.131</v>
      </c>
      <c r="F7" s="3">
        <v>0.192</v>
      </c>
      <c r="G7" s="3">
        <v>4.7E-2</v>
      </c>
      <c r="H7" s="3">
        <v>0</v>
      </c>
      <c r="I7" s="4">
        <v>1</v>
      </c>
      <c r="J7" s="3">
        <v>-0.5</v>
      </c>
      <c r="K7" s="4">
        <v>22</v>
      </c>
      <c r="L7" s="4">
        <v>-4</v>
      </c>
      <c r="M7" s="4">
        <v>3711</v>
      </c>
      <c r="N7" s="4">
        <v>3150</v>
      </c>
      <c r="O7" s="4">
        <f>M7-N7</f>
        <v>561</v>
      </c>
      <c r="P7" s="3">
        <v>0.17799999999999999</v>
      </c>
      <c r="Q7" s="4">
        <v>149</v>
      </c>
      <c r="R7" s="3">
        <v>-0.76100000000000001</v>
      </c>
      <c r="S7" s="4">
        <v>149.12</v>
      </c>
      <c r="T7" s="3">
        <v>-0.52300000000000002</v>
      </c>
      <c r="U7" s="4">
        <v>3854</v>
      </c>
      <c r="V7" s="3">
        <v>-4.4999999999999998E-2</v>
      </c>
      <c r="W7" s="3">
        <v>0</v>
      </c>
      <c r="X7" s="3">
        <v>1.79</v>
      </c>
      <c r="Y7" s="3">
        <v>1.931</v>
      </c>
      <c r="Z7" s="3">
        <v>0.153</v>
      </c>
      <c r="AA7" s="3">
        <v>1.778</v>
      </c>
      <c r="AB7" s="3">
        <v>1.931</v>
      </c>
      <c r="AC7" s="3">
        <v>0.153</v>
      </c>
      <c r="AD7" s="3">
        <v>1.778</v>
      </c>
      <c r="AE7" s="3">
        <v>0</v>
      </c>
      <c r="AF7" s="3">
        <v>0</v>
      </c>
      <c r="AG7" s="3">
        <v>0</v>
      </c>
      <c r="AH7" s="3">
        <v>2.1509999999999998</v>
      </c>
      <c r="AI7" s="3">
        <v>0.153</v>
      </c>
      <c r="AJ7" s="3">
        <v>1.998</v>
      </c>
      <c r="AK7" s="3">
        <v>0</v>
      </c>
      <c r="AL7" s="4">
        <v>0</v>
      </c>
    </row>
    <row r="8" spans="1:38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1.0409999999999999</v>
      </c>
      <c r="F8" s="3">
        <v>2.1999999999999999E-2</v>
      </c>
      <c r="G8" s="3">
        <v>0.10100000000000001</v>
      </c>
      <c r="H8" s="3">
        <v>0</v>
      </c>
      <c r="I8" s="4">
        <v>5</v>
      </c>
      <c r="J8" s="3">
        <v>-0.28599999999999998</v>
      </c>
      <c r="K8" s="4">
        <v>49</v>
      </c>
      <c r="L8" s="4">
        <v>4</v>
      </c>
      <c r="M8" s="4">
        <v>8692</v>
      </c>
      <c r="N8" s="4">
        <v>7610</v>
      </c>
      <c r="O8" s="4">
        <f t="shared" ref="O8:O42" si="0">M8-N8</f>
        <v>1082</v>
      </c>
      <c r="P8" s="3">
        <v>0.14199999999999999</v>
      </c>
      <c r="Q8" s="4">
        <v>770</v>
      </c>
      <c r="R8" s="3">
        <v>-0.53</v>
      </c>
      <c r="S8" s="4">
        <v>154.08000000000001</v>
      </c>
      <c r="T8" s="3">
        <v>-0.34200000000000003</v>
      </c>
      <c r="U8" s="4">
        <v>8110</v>
      </c>
      <c r="V8" s="3">
        <v>0.14299999999999999</v>
      </c>
      <c r="W8" s="3">
        <v>0</v>
      </c>
      <c r="X8" s="3">
        <v>0</v>
      </c>
      <c r="Y8" s="3">
        <v>4.0000000000000001E-3</v>
      </c>
      <c r="Z8" s="3">
        <v>0.59099999999999997</v>
      </c>
      <c r="AA8" s="3">
        <v>-0.58599999999999997</v>
      </c>
      <c r="AB8" s="3">
        <v>4.0000000000000001E-3</v>
      </c>
      <c r="AC8" s="3">
        <v>0.59099999999999997</v>
      </c>
      <c r="AD8" s="3">
        <v>-0.58599999999999997</v>
      </c>
      <c r="AE8" s="3">
        <v>0</v>
      </c>
      <c r="AF8" s="3">
        <v>3.8660000000000001</v>
      </c>
      <c r="AG8" s="3">
        <v>-3.8660000000000001</v>
      </c>
      <c r="AH8" s="3">
        <v>0.27400000000000002</v>
      </c>
      <c r="AI8" s="3">
        <v>0.59099999999999997</v>
      </c>
      <c r="AJ8" s="3">
        <v>-0.317</v>
      </c>
      <c r="AK8" s="3">
        <v>0</v>
      </c>
      <c r="AL8" s="4">
        <v>0</v>
      </c>
    </row>
    <row r="9" spans="1:38" x14ac:dyDescent="0.25">
      <c r="A9" s="12" t="s">
        <v>37</v>
      </c>
      <c r="B9" s="12" t="s">
        <v>38</v>
      </c>
      <c r="C9" s="5" t="s">
        <v>42</v>
      </c>
      <c r="D9" s="5"/>
      <c r="E9" s="6">
        <v>1.0669999999999999</v>
      </c>
      <c r="F9" s="6">
        <v>8.5000000000000006E-2</v>
      </c>
      <c r="G9" s="6">
        <v>8.5000000000000006E-2</v>
      </c>
      <c r="H9" s="6">
        <v>0</v>
      </c>
      <c r="I9" s="7">
        <v>6</v>
      </c>
      <c r="J9" s="6">
        <v>-0.33300000000000002</v>
      </c>
      <c r="K9" s="7">
        <v>71</v>
      </c>
      <c r="L9" s="7">
        <v>0</v>
      </c>
      <c r="M9" s="7">
        <v>12403</v>
      </c>
      <c r="N9" s="7">
        <v>10760</v>
      </c>
      <c r="O9" s="4">
        <f t="shared" si="0"/>
        <v>1643</v>
      </c>
      <c r="P9" s="6">
        <v>0.153</v>
      </c>
      <c r="Q9" s="7">
        <v>920</v>
      </c>
      <c r="R9" s="6">
        <v>-0.59399999999999997</v>
      </c>
      <c r="S9" s="7">
        <v>153.26</v>
      </c>
      <c r="T9" s="6">
        <v>-0.39100000000000001</v>
      </c>
      <c r="U9" s="7">
        <v>11964</v>
      </c>
      <c r="V9" s="6">
        <v>7.4999999999999997E-2</v>
      </c>
      <c r="W9" s="6">
        <v>0</v>
      </c>
      <c r="X9" s="6">
        <v>0.57699999999999996</v>
      </c>
      <c r="Y9" s="6">
        <v>0.625</v>
      </c>
      <c r="Z9" s="6">
        <v>0.432</v>
      </c>
      <c r="AA9" s="6">
        <v>0.193</v>
      </c>
      <c r="AB9" s="6">
        <v>0.625</v>
      </c>
      <c r="AC9" s="6">
        <v>0.432</v>
      </c>
      <c r="AD9" s="6">
        <v>0.193</v>
      </c>
      <c r="AE9" s="6">
        <v>0</v>
      </c>
      <c r="AF9" s="6">
        <v>3.3140000000000001</v>
      </c>
      <c r="AG9" s="6">
        <v>-3.3140000000000001</v>
      </c>
      <c r="AH9" s="6">
        <v>0.878</v>
      </c>
      <c r="AI9" s="6">
        <v>0.432</v>
      </c>
      <c r="AJ9" s="6">
        <v>0.44700000000000001</v>
      </c>
      <c r="AK9" s="6">
        <v>0</v>
      </c>
      <c r="AL9" s="7">
        <v>0</v>
      </c>
    </row>
    <row r="10" spans="1:38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0.86599999999999999</v>
      </c>
      <c r="F10" s="3">
        <v>0.14299999999999999</v>
      </c>
      <c r="G10" s="3">
        <v>0.12</v>
      </c>
      <c r="H10" s="3">
        <v>0</v>
      </c>
      <c r="I10" s="4">
        <v>358</v>
      </c>
      <c r="J10" s="3">
        <v>0.20899999999999999</v>
      </c>
      <c r="K10" s="4">
        <v>2515</v>
      </c>
      <c r="L10" s="4">
        <v>-1</v>
      </c>
      <c r="M10" s="4">
        <v>894661</v>
      </c>
      <c r="N10" s="4">
        <v>906976</v>
      </c>
      <c r="O10" s="4">
        <f t="shared" si="0"/>
        <v>-12315</v>
      </c>
      <c r="P10" s="3">
        <v>-1.4E-2</v>
      </c>
      <c r="Q10" s="4">
        <v>108979</v>
      </c>
      <c r="R10" s="3">
        <v>1E-3</v>
      </c>
      <c r="S10" s="4">
        <v>316.52999999999997</v>
      </c>
      <c r="T10" s="3">
        <v>-0.14599999999999999</v>
      </c>
      <c r="U10" s="4">
        <v>895172</v>
      </c>
      <c r="V10" s="3">
        <v>-1.7000000000000001E-2</v>
      </c>
      <c r="W10" s="3">
        <v>7.0000000000000001E-3</v>
      </c>
      <c r="X10" s="3">
        <v>0.69599999999999995</v>
      </c>
      <c r="Y10" s="3">
        <v>0.70399999999999996</v>
      </c>
      <c r="Z10" s="3">
        <v>0.501</v>
      </c>
      <c r="AA10" s="3">
        <v>0.20300000000000001</v>
      </c>
      <c r="AB10" s="3">
        <v>0.70299999999999996</v>
      </c>
      <c r="AC10" s="3">
        <v>0.5</v>
      </c>
      <c r="AD10" s="3">
        <v>0.20300000000000001</v>
      </c>
      <c r="AE10" s="3">
        <v>0.49399999999999999</v>
      </c>
      <c r="AF10" s="3">
        <v>0.64200000000000002</v>
      </c>
      <c r="AG10" s="3">
        <v>-0.14799999999999999</v>
      </c>
      <c r="AH10" s="3">
        <v>0.79</v>
      </c>
      <c r="AI10" s="3">
        <v>0.501</v>
      </c>
      <c r="AJ10" s="3">
        <v>0.28999999999999998</v>
      </c>
      <c r="AK10" s="3">
        <v>0</v>
      </c>
      <c r="AL10" s="4">
        <v>0</v>
      </c>
    </row>
    <row r="11" spans="1:38" x14ac:dyDescent="0.25">
      <c r="A11" s="12" t="s">
        <v>37</v>
      </c>
      <c r="B11" s="12" t="s">
        <v>43</v>
      </c>
      <c r="C11" s="5" t="s">
        <v>42</v>
      </c>
      <c r="D11" s="5"/>
      <c r="E11" s="6">
        <v>0.86599999999999999</v>
      </c>
      <c r="F11" s="6">
        <v>0.14299999999999999</v>
      </c>
      <c r="G11" s="6">
        <v>0.12</v>
      </c>
      <c r="H11" s="6">
        <v>0</v>
      </c>
      <c r="I11" s="7">
        <v>358</v>
      </c>
      <c r="J11" s="6">
        <v>0.20899999999999999</v>
      </c>
      <c r="K11" s="7">
        <v>2515</v>
      </c>
      <c r="L11" s="7">
        <v>-1</v>
      </c>
      <c r="M11" s="7">
        <v>894661</v>
      </c>
      <c r="N11" s="7">
        <v>906976</v>
      </c>
      <c r="O11" s="4">
        <f t="shared" si="0"/>
        <v>-12315</v>
      </c>
      <c r="P11" s="6">
        <v>-1.4E-2</v>
      </c>
      <c r="Q11" s="7">
        <v>108979</v>
      </c>
      <c r="R11" s="6">
        <v>1E-3</v>
      </c>
      <c r="S11" s="7">
        <v>316.52999999999997</v>
      </c>
      <c r="T11" s="6">
        <v>-0.14599999999999999</v>
      </c>
      <c r="U11" s="7">
        <v>895172</v>
      </c>
      <c r="V11" s="6">
        <v>-1.7000000000000001E-2</v>
      </c>
      <c r="W11" s="6">
        <v>7.0000000000000001E-3</v>
      </c>
      <c r="X11" s="6">
        <v>0.69599999999999995</v>
      </c>
      <c r="Y11" s="6">
        <v>0.70399999999999996</v>
      </c>
      <c r="Z11" s="6">
        <v>0.501</v>
      </c>
      <c r="AA11" s="6">
        <v>0.20300000000000001</v>
      </c>
      <c r="AB11" s="6">
        <v>0.70299999999999996</v>
      </c>
      <c r="AC11" s="6">
        <v>0.5</v>
      </c>
      <c r="AD11" s="6">
        <v>0.20300000000000001</v>
      </c>
      <c r="AE11" s="6">
        <v>0.49399999999999999</v>
      </c>
      <c r="AF11" s="6">
        <v>0.64200000000000002</v>
      </c>
      <c r="AG11" s="6">
        <v>-0.14799999999999999</v>
      </c>
      <c r="AH11" s="6">
        <v>0.79</v>
      </c>
      <c r="AI11" s="6">
        <v>0.501</v>
      </c>
      <c r="AJ11" s="6">
        <v>0.28999999999999998</v>
      </c>
      <c r="AK11" s="6">
        <v>0</v>
      </c>
      <c r="AL11" s="7">
        <v>0</v>
      </c>
    </row>
    <row r="12" spans="1:38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0.94299999999999995</v>
      </c>
      <c r="F12" s="3">
        <v>8.5000000000000006E-2</v>
      </c>
      <c r="G12" s="3">
        <v>0.10199999999999999</v>
      </c>
      <c r="H12" s="3">
        <v>0</v>
      </c>
      <c r="I12" s="4">
        <v>88</v>
      </c>
      <c r="J12" s="3">
        <v>0.443</v>
      </c>
      <c r="K12" s="4">
        <v>752</v>
      </c>
      <c r="L12" s="4">
        <v>26</v>
      </c>
      <c r="M12" s="4">
        <v>157931</v>
      </c>
      <c r="N12" s="4">
        <v>151209</v>
      </c>
      <c r="O12" s="4">
        <f t="shared" si="0"/>
        <v>6722</v>
      </c>
      <c r="P12" s="3">
        <v>4.3999999999999997E-2</v>
      </c>
      <c r="Q12" s="4">
        <v>15401</v>
      </c>
      <c r="R12" s="3">
        <v>0.497</v>
      </c>
      <c r="S12" s="4">
        <v>175.01</v>
      </c>
      <c r="T12" s="3">
        <v>4.5999999999999999E-2</v>
      </c>
      <c r="U12" s="4">
        <v>153956</v>
      </c>
      <c r="V12" s="3">
        <v>2.8000000000000001E-2</v>
      </c>
      <c r="W12" s="3">
        <v>8.0000000000000002E-3</v>
      </c>
      <c r="X12" s="3">
        <v>0.55100000000000005</v>
      </c>
      <c r="Y12" s="3">
        <v>0.60199999999999998</v>
      </c>
      <c r="Z12" s="3">
        <v>0.66700000000000004</v>
      </c>
      <c r="AA12" s="3">
        <v>-6.4000000000000001E-2</v>
      </c>
      <c r="AB12" s="3">
        <v>0.60199999999999998</v>
      </c>
      <c r="AC12" s="3">
        <v>0.66700000000000004</v>
      </c>
      <c r="AD12" s="3">
        <v>-6.4000000000000001E-2</v>
      </c>
      <c r="AE12" s="3">
        <v>0.63100000000000001</v>
      </c>
      <c r="AF12" s="3">
        <v>1.579</v>
      </c>
      <c r="AG12" s="3">
        <v>-0.94799999999999995</v>
      </c>
      <c r="AH12" s="3">
        <v>0.82399999999999995</v>
      </c>
      <c r="AI12" s="3">
        <v>0.66700000000000004</v>
      </c>
      <c r="AJ12" s="3">
        <v>0.157</v>
      </c>
      <c r="AK12" s="3">
        <v>0</v>
      </c>
      <c r="AL12" s="4">
        <v>0</v>
      </c>
    </row>
    <row r="13" spans="1:38" x14ac:dyDescent="0.25">
      <c r="A13" s="12" t="s">
        <v>37</v>
      </c>
      <c r="B13" s="12" t="s">
        <v>45</v>
      </c>
      <c r="C13" s="5" t="s">
        <v>42</v>
      </c>
      <c r="D13" s="5"/>
      <c r="E13" s="6">
        <v>0.94299999999999995</v>
      </c>
      <c r="F13" s="6">
        <v>8.5000000000000006E-2</v>
      </c>
      <c r="G13" s="6">
        <v>0.10199999999999999</v>
      </c>
      <c r="H13" s="6">
        <v>0</v>
      </c>
      <c r="I13" s="7">
        <v>88</v>
      </c>
      <c r="J13" s="6">
        <v>0.443</v>
      </c>
      <c r="K13" s="7">
        <v>752</v>
      </c>
      <c r="L13" s="7">
        <v>26</v>
      </c>
      <c r="M13" s="7">
        <v>157931</v>
      </c>
      <c r="N13" s="7">
        <v>151209</v>
      </c>
      <c r="O13" s="4">
        <f t="shared" si="0"/>
        <v>6722</v>
      </c>
      <c r="P13" s="6">
        <v>4.3999999999999997E-2</v>
      </c>
      <c r="Q13" s="7">
        <v>15401</v>
      </c>
      <c r="R13" s="6">
        <v>0.497</v>
      </c>
      <c r="S13" s="7">
        <v>175.01</v>
      </c>
      <c r="T13" s="6">
        <v>4.5999999999999999E-2</v>
      </c>
      <c r="U13" s="7">
        <v>153956</v>
      </c>
      <c r="V13" s="6">
        <v>2.8000000000000001E-2</v>
      </c>
      <c r="W13" s="6">
        <v>8.0000000000000002E-3</v>
      </c>
      <c r="X13" s="6">
        <v>0.55100000000000005</v>
      </c>
      <c r="Y13" s="6">
        <v>0.60199999999999998</v>
      </c>
      <c r="Z13" s="6">
        <v>0.66700000000000004</v>
      </c>
      <c r="AA13" s="6">
        <v>-6.4000000000000001E-2</v>
      </c>
      <c r="AB13" s="6">
        <v>0.60199999999999998</v>
      </c>
      <c r="AC13" s="6">
        <v>0.66700000000000004</v>
      </c>
      <c r="AD13" s="6">
        <v>-6.4000000000000001E-2</v>
      </c>
      <c r="AE13" s="6">
        <v>0.63100000000000001</v>
      </c>
      <c r="AF13" s="6">
        <v>1.579</v>
      </c>
      <c r="AG13" s="6">
        <v>-0.94799999999999995</v>
      </c>
      <c r="AH13" s="6">
        <v>0.82399999999999995</v>
      </c>
      <c r="AI13" s="6">
        <v>0.66700000000000004</v>
      </c>
      <c r="AJ13" s="6">
        <v>0.157</v>
      </c>
      <c r="AK13" s="6">
        <v>0</v>
      </c>
      <c r="AL13" s="7">
        <v>0</v>
      </c>
    </row>
    <row r="14" spans="1:38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0.97499999999999998</v>
      </c>
      <c r="F14" s="3">
        <v>4.2999999999999997E-2</v>
      </c>
      <c r="G14" s="3">
        <v>0.11</v>
      </c>
      <c r="H14" s="3">
        <v>0</v>
      </c>
      <c r="I14" s="4">
        <v>2</v>
      </c>
      <c r="J14" s="3">
        <v>1</v>
      </c>
      <c r="K14" s="4">
        <v>24</v>
      </c>
      <c r="L14" s="4">
        <v>1</v>
      </c>
      <c r="M14" s="4">
        <v>17353</v>
      </c>
      <c r="N14" s="4">
        <v>15996</v>
      </c>
      <c r="O14" s="4">
        <f t="shared" si="0"/>
        <v>1357</v>
      </c>
      <c r="P14" s="3">
        <v>8.5000000000000006E-2</v>
      </c>
      <c r="Q14" s="4">
        <v>1756</v>
      </c>
      <c r="R14" s="3">
        <v>4.4059999999999997</v>
      </c>
      <c r="S14" s="4">
        <v>877.97</v>
      </c>
      <c r="T14" s="3">
        <v>1.7030000000000001</v>
      </c>
      <c r="U14" s="4">
        <v>16858</v>
      </c>
      <c r="V14" s="3">
        <v>9.8000000000000004E-2</v>
      </c>
      <c r="W14" s="3">
        <v>0</v>
      </c>
      <c r="X14" s="3">
        <v>0.57299999999999995</v>
      </c>
      <c r="Y14" s="3">
        <v>0.64</v>
      </c>
      <c r="Z14" s="3">
        <v>0.17499999999999999</v>
      </c>
      <c r="AA14" s="3">
        <v>0.46600000000000003</v>
      </c>
      <c r="AB14" s="3">
        <v>0.64</v>
      </c>
      <c r="AC14" s="3">
        <v>0.17</v>
      </c>
      <c r="AD14" s="3">
        <v>0.47</v>
      </c>
      <c r="AE14" s="3">
        <v>0.60099999999999998</v>
      </c>
      <c r="AF14" s="3">
        <v>0</v>
      </c>
      <c r="AG14" s="3">
        <v>0.60099999999999998</v>
      </c>
      <c r="AH14" s="3">
        <v>0.84</v>
      </c>
      <c r="AI14" s="3">
        <v>0.17499999999999999</v>
      </c>
      <c r="AJ14" s="3">
        <v>0.66600000000000004</v>
      </c>
      <c r="AK14" s="3">
        <v>0</v>
      </c>
      <c r="AL14" s="4">
        <v>0</v>
      </c>
    </row>
    <row r="15" spans="1:38" x14ac:dyDescent="0.25">
      <c r="A15" s="12" t="s">
        <v>37</v>
      </c>
      <c r="B15" s="12" t="s">
        <v>46</v>
      </c>
      <c r="C15" s="5" t="s">
        <v>42</v>
      </c>
      <c r="D15" s="5"/>
      <c r="E15" s="6">
        <v>0.97499999999999998</v>
      </c>
      <c r="F15" s="6">
        <v>4.2999999999999997E-2</v>
      </c>
      <c r="G15" s="6">
        <v>0.11</v>
      </c>
      <c r="H15" s="6">
        <v>0</v>
      </c>
      <c r="I15" s="7">
        <v>2</v>
      </c>
      <c r="J15" s="6">
        <v>1</v>
      </c>
      <c r="K15" s="7">
        <v>24</v>
      </c>
      <c r="L15" s="7">
        <v>1</v>
      </c>
      <c r="M15" s="7">
        <v>17353</v>
      </c>
      <c r="N15" s="7">
        <v>15996</v>
      </c>
      <c r="O15" s="4">
        <f t="shared" si="0"/>
        <v>1357</v>
      </c>
      <c r="P15" s="6">
        <v>8.5000000000000006E-2</v>
      </c>
      <c r="Q15" s="7">
        <v>1756</v>
      </c>
      <c r="R15" s="6">
        <v>4.4059999999999997</v>
      </c>
      <c r="S15" s="7">
        <v>877.97</v>
      </c>
      <c r="T15" s="6">
        <v>1.7030000000000001</v>
      </c>
      <c r="U15" s="7">
        <v>16858</v>
      </c>
      <c r="V15" s="6">
        <v>9.8000000000000004E-2</v>
      </c>
      <c r="W15" s="6">
        <v>0</v>
      </c>
      <c r="X15" s="6">
        <v>0.57299999999999995</v>
      </c>
      <c r="Y15" s="6">
        <v>0.64</v>
      </c>
      <c r="Z15" s="6">
        <v>0.17499999999999999</v>
      </c>
      <c r="AA15" s="6">
        <v>0.46600000000000003</v>
      </c>
      <c r="AB15" s="6">
        <v>0.64</v>
      </c>
      <c r="AC15" s="6">
        <v>0.17</v>
      </c>
      <c r="AD15" s="6">
        <v>0.47</v>
      </c>
      <c r="AE15" s="6">
        <v>0.60099999999999998</v>
      </c>
      <c r="AF15" s="6">
        <v>0</v>
      </c>
      <c r="AG15" s="6">
        <v>0.60099999999999998</v>
      </c>
      <c r="AH15" s="6">
        <v>0.84</v>
      </c>
      <c r="AI15" s="6">
        <v>0.17499999999999999</v>
      </c>
      <c r="AJ15" s="6">
        <v>0.66600000000000004</v>
      </c>
      <c r="AK15" s="6">
        <v>0</v>
      </c>
      <c r="AL15" s="7">
        <v>0</v>
      </c>
    </row>
    <row r="16" spans="1:38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10</v>
      </c>
      <c r="G16" s="3">
        <v>0.77800000000000002</v>
      </c>
      <c r="H16" s="3">
        <v>0</v>
      </c>
      <c r="I16" s="4">
        <v>10</v>
      </c>
      <c r="J16" s="3">
        <v>-9.0999999999999998E-2</v>
      </c>
      <c r="K16" s="4">
        <v>1</v>
      </c>
      <c r="L16" s="4">
        <v>0</v>
      </c>
      <c r="M16" s="4">
        <v>1569</v>
      </c>
      <c r="N16" s="4">
        <v>2017</v>
      </c>
      <c r="O16" s="4">
        <f t="shared" si="0"/>
        <v>-448</v>
      </c>
      <c r="P16" s="3">
        <v>-0.222</v>
      </c>
      <c r="Q16" s="4">
        <v>1569</v>
      </c>
      <c r="R16" s="3">
        <v>-0.222</v>
      </c>
      <c r="S16" s="4">
        <v>1591.26</v>
      </c>
      <c r="T16" s="3">
        <v>0.27</v>
      </c>
      <c r="U16" s="4">
        <v>1468</v>
      </c>
      <c r="V16" s="3">
        <v>-0.29199999999999998</v>
      </c>
      <c r="W16" s="3">
        <v>0</v>
      </c>
      <c r="X16" s="3">
        <v>0.39700000000000002</v>
      </c>
      <c r="Y16" s="3">
        <v>0.69499999999999995</v>
      </c>
      <c r="Z16" s="3">
        <v>0.1</v>
      </c>
      <c r="AA16" s="3">
        <v>0.59399999999999997</v>
      </c>
      <c r="AB16" s="3">
        <v>0.69499999999999995</v>
      </c>
      <c r="AC16" s="3">
        <v>0.14000000000000001</v>
      </c>
      <c r="AD16" s="3">
        <v>0.55500000000000005</v>
      </c>
      <c r="AE16" s="3">
        <v>0.40200000000000002</v>
      </c>
      <c r="AF16" s="3">
        <v>0</v>
      </c>
      <c r="AG16" s="3">
        <v>0.40200000000000002</v>
      </c>
      <c r="AH16" s="3">
        <v>0.84499999999999997</v>
      </c>
      <c r="AI16" s="3">
        <v>0.1</v>
      </c>
      <c r="AJ16" s="3">
        <v>0.74399999999999999</v>
      </c>
      <c r="AK16" s="3">
        <v>0</v>
      </c>
      <c r="AL16" s="4">
        <v>0</v>
      </c>
    </row>
    <row r="17" spans="1:38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1.0169999999999999</v>
      </c>
      <c r="F17" s="3">
        <v>0</v>
      </c>
      <c r="G17" s="3">
        <v>9.7000000000000003E-2</v>
      </c>
      <c r="H17" s="3">
        <v>0</v>
      </c>
      <c r="I17" s="4">
        <v>1</v>
      </c>
      <c r="J17" s="3">
        <v>-0.66700000000000004</v>
      </c>
      <c r="K17" s="4">
        <v>8</v>
      </c>
      <c r="L17" s="4">
        <v>1</v>
      </c>
      <c r="M17" s="4">
        <v>1131</v>
      </c>
      <c r="N17" s="4">
        <v>1016</v>
      </c>
      <c r="O17" s="4">
        <f t="shared" si="0"/>
        <v>115</v>
      </c>
      <c r="P17" s="3">
        <v>0.114</v>
      </c>
      <c r="Q17" s="4">
        <v>98</v>
      </c>
      <c r="R17" s="3">
        <v>-0.73199999999999998</v>
      </c>
      <c r="S17" s="4">
        <v>98.23</v>
      </c>
      <c r="T17" s="3">
        <v>-0.19600000000000001</v>
      </c>
      <c r="U17" s="4">
        <v>1087</v>
      </c>
      <c r="V17" s="3">
        <v>3.3000000000000002E-2</v>
      </c>
      <c r="W17" s="3">
        <v>0</v>
      </c>
      <c r="X17" s="3">
        <v>0</v>
      </c>
      <c r="Y17" s="3">
        <v>-6.0000000000000001E-3</v>
      </c>
      <c r="Z17" s="3">
        <v>0</v>
      </c>
      <c r="AA17" s="3">
        <v>-6.0000000000000001E-3</v>
      </c>
      <c r="AB17" s="3">
        <v>-6.0000000000000001E-3</v>
      </c>
      <c r="AC17" s="3">
        <v>0</v>
      </c>
      <c r="AD17" s="3">
        <v>-6.0000000000000001E-3</v>
      </c>
      <c r="AE17" s="3">
        <v>0</v>
      </c>
      <c r="AF17" s="3">
        <v>0</v>
      </c>
      <c r="AG17" s="3">
        <v>0</v>
      </c>
      <c r="AH17" s="3">
        <v>0.14399999999999999</v>
      </c>
      <c r="AI17" s="3">
        <v>0</v>
      </c>
      <c r="AJ17" s="3">
        <v>0.14399999999999999</v>
      </c>
      <c r="AK17" s="3">
        <v>0</v>
      </c>
      <c r="AL17" s="4">
        <v>0</v>
      </c>
    </row>
    <row r="18" spans="1:38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0.95799999999999996</v>
      </c>
      <c r="F18" s="3">
        <v>0.16700000000000001</v>
      </c>
      <c r="G18" s="3">
        <v>0</v>
      </c>
      <c r="H18" s="3">
        <v>0</v>
      </c>
      <c r="I18" s="4">
        <v>0</v>
      </c>
      <c r="J18" s="8"/>
      <c r="K18" s="4">
        <v>5</v>
      </c>
      <c r="L18" s="4">
        <v>-1</v>
      </c>
      <c r="M18" s="4">
        <v>367</v>
      </c>
      <c r="N18" s="4">
        <v>383</v>
      </c>
      <c r="O18" s="4">
        <f t="shared" si="0"/>
        <v>-16</v>
      </c>
      <c r="P18" s="3">
        <v>-4.2000000000000003E-2</v>
      </c>
      <c r="Q18" s="4">
        <v>0</v>
      </c>
      <c r="R18" s="8"/>
      <c r="S18" s="8"/>
      <c r="T18" s="8"/>
      <c r="U18" s="4">
        <v>378</v>
      </c>
      <c r="V18" s="3">
        <v>1.0999999999999999E-2</v>
      </c>
      <c r="W18" s="3">
        <v>0</v>
      </c>
      <c r="X18" s="3">
        <v>0</v>
      </c>
      <c r="Y18" s="3">
        <v>-7.0000000000000001E-3</v>
      </c>
      <c r="Z18" s="3">
        <v>1.9E-2</v>
      </c>
      <c r="AA18" s="3">
        <v>-2.5999999999999999E-2</v>
      </c>
      <c r="AB18" s="3">
        <v>-7.0000000000000001E-3</v>
      </c>
      <c r="AC18" s="3">
        <v>0</v>
      </c>
      <c r="AD18" s="3">
        <v>-7.0000000000000001E-3</v>
      </c>
      <c r="AE18" s="8"/>
      <c r="AF18" s="8"/>
      <c r="AG18" s="8"/>
      <c r="AH18" s="3">
        <v>0.2</v>
      </c>
      <c r="AI18" s="3">
        <v>1.9E-2</v>
      </c>
      <c r="AJ18" s="3">
        <v>0.18</v>
      </c>
      <c r="AK18" s="3">
        <v>0</v>
      </c>
      <c r="AL18" s="4">
        <v>0</v>
      </c>
    </row>
    <row r="19" spans="1:38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1.038</v>
      </c>
      <c r="F19" s="3">
        <v>0.10299999999999999</v>
      </c>
      <c r="G19" s="3">
        <v>5.0999999999999997E-2</v>
      </c>
      <c r="H19" s="3">
        <v>0</v>
      </c>
      <c r="I19" s="4">
        <v>5</v>
      </c>
      <c r="J19" s="3">
        <v>1.5</v>
      </c>
      <c r="K19" s="4">
        <v>110</v>
      </c>
      <c r="L19" s="4">
        <v>-7</v>
      </c>
      <c r="M19" s="4">
        <v>2057</v>
      </c>
      <c r="N19" s="4">
        <v>1889</v>
      </c>
      <c r="O19" s="4">
        <f t="shared" si="0"/>
        <v>168</v>
      </c>
      <c r="P19" s="3">
        <v>8.8999999999999996E-2</v>
      </c>
      <c r="Q19" s="4">
        <v>97</v>
      </c>
      <c r="R19" s="3">
        <v>2.1230000000000002</v>
      </c>
      <c r="S19" s="4">
        <v>19.420000000000002</v>
      </c>
      <c r="T19" s="3">
        <v>0.249</v>
      </c>
      <c r="U19" s="4">
        <v>2111</v>
      </c>
      <c r="V19" s="3">
        <v>-0.11</v>
      </c>
      <c r="W19" s="3">
        <v>0</v>
      </c>
      <c r="X19" s="3">
        <v>0</v>
      </c>
      <c r="Y19" s="3">
        <v>4.7E-2</v>
      </c>
      <c r="Z19" s="3">
        <v>8.9999999999999993E-3</v>
      </c>
      <c r="AA19" s="3">
        <v>3.7999999999999999E-2</v>
      </c>
      <c r="AB19" s="3">
        <v>4.7E-2</v>
      </c>
      <c r="AC19" s="3">
        <v>8.9999999999999993E-3</v>
      </c>
      <c r="AD19" s="3">
        <v>3.7999999999999999E-2</v>
      </c>
      <c r="AE19" s="3">
        <v>0</v>
      </c>
      <c r="AF19" s="3">
        <v>0</v>
      </c>
      <c r="AG19" s="3">
        <v>0</v>
      </c>
      <c r="AH19" s="3">
        <v>0.28999999999999998</v>
      </c>
      <c r="AI19" s="3">
        <v>8.9999999999999993E-3</v>
      </c>
      <c r="AJ19" s="3">
        <v>0.28100000000000003</v>
      </c>
      <c r="AK19" s="3">
        <v>0</v>
      </c>
      <c r="AL19" s="4">
        <v>0</v>
      </c>
    </row>
    <row r="20" spans="1:38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0.96</v>
      </c>
      <c r="F20" s="3">
        <v>0.14799999999999999</v>
      </c>
      <c r="G20" s="3">
        <v>0.371</v>
      </c>
      <c r="H20" s="3">
        <v>0</v>
      </c>
      <c r="I20" s="4">
        <v>13</v>
      </c>
      <c r="J20" s="3">
        <v>1.6</v>
      </c>
      <c r="K20" s="4">
        <v>36</v>
      </c>
      <c r="L20" s="4">
        <v>9</v>
      </c>
      <c r="M20" s="4">
        <v>7400</v>
      </c>
      <c r="N20" s="4">
        <v>5560</v>
      </c>
      <c r="O20" s="4">
        <f t="shared" si="0"/>
        <v>1840</v>
      </c>
      <c r="P20" s="3">
        <v>0.33100000000000002</v>
      </c>
      <c r="Q20" s="4">
        <v>2061</v>
      </c>
      <c r="R20" s="3">
        <v>5.133</v>
      </c>
      <c r="S20" s="4">
        <v>183.61</v>
      </c>
      <c r="T20" s="3">
        <v>1.732</v>
      </c>
      <c r="U20" s="4">
        <v>6067</v>
      </c>
      <c r="V20" s="3">
        <v>4.2999999999999997E-2</v>
      </c>
      <c r="W20" s="3">
        <v>7.0000000000000001E-3</v>
      </c>
      <c r="X20" s="3">
        <v>0</v>
      </c>
      <c r="Y20" s="3">
        <v>5.3999999999999999E-2</v>
      </c>
      <c r="Z20" s="3">
        <v>2.8000000000000001E-2</v>
      </c>
      <c r="AA20" s="3">
        <v>2.5999999999999999E-2</v>
      </c>
      <c r="AB20" s="3">
        <v>5.3999999999999999E-2</v>
      </c>
      <c r="AC20" s="3">
        <v>2.8000000000000001E-2</v>
      </c>
      <c r="AD20" s="3">
        <v>2.5999999999999999E-2</v>
      </c>
      <c r="AE20" s="3">
        <v>0</v>
      </c>
      <c r="AF20" s="3">
        <v>0</v>
      </c>
      <c r="AG20" s="3">
        <v>0</v>
      </c>
      <c r="AH20" s="3">
        <v>0.251</v>
      </c>
      <c r="AI20" s="3">
        <v>2.8000000000000001E-2</v>
      </c>
      <c r="AJ20" s="3">
        <v>0.223</v>
      </c>
      <c r="AK20" s="3">
        <v>0</v>
      </c>
      <c r="AL20" s="4">
        <v>0</v>
      </c>
    </row>
    <row r="21" spans="1:38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0.94299999999999995</v>
      </c>
      <c r="F21" s="3">
        <v>9.0999999999999998E-2</v>
      </c>
      <c r="G21" s="3">
        <v>0</v>
      </c>
      <c r="H21" s="3">
        <v>0</v>
      </c>
      <c r="I21" s="4">
        <v>0</v>
      </c>
      <c r="J21" s="8"/>
      <c r="K21" s="4">
        <v>30</v>
      </c>
      <c r="L21" s="4">
        <v>-3</v>
      </c>
      <c r="M21" s="4">
        <v>3393</v>
      </c>
      <c r="N21" s="4">
        <v>3596</v>
      </c>
      <c r="O21" s="4">
        <f t="shared" si="0"/>
        <v>-203</v>
      </c>
      <c r="P21" s="3">
        <v>-5.7000000000000002E-2</v>
      </c>
      <c r="Q21" s="4">
        <v>0</v>
      </c>
      <c r="R21" s="8"/>
      <c r="S21" s="8"/>
      <c r="T21" s="8"/>
      <c r="U21" s="4">
        <v>3501</v>
      </c>
      <c r="V21" s="3">
        <v>-8.2000000000000003E-2</v>
      </c>
      <c r="W21" s="3">
        <v>0</v>
      </c>
      <c r="X21" s="3">
        <v>0</v>
      </c>
      <c r="Y21" s="3">
        <v>3.5999999999999997E-2</v>
      </c>
      <c r="Z21" s="3">
        <v>4.7E-2</v>
      </c>
      <c r="AA21" s="3">
        <v>-1.0999999999999999E-2</v>
      </c>
      <c r="AB21" s="3">
        <v>3.5999999999999997E-2</v>
      </c>
      <c r="AC21" s="3">
        <v>4.7E-2</v>
      </c>
      <c r="AD21" s="3">
        <v>-1.0999999999999999E-2</v>
      </c>
      <c r="AE21" s="8"/>
      <c r="AF21" s="8"/>
      <c r="AG21" s="8"/>
      <c r="AH21" s="3">
        <v>0.28599999999999998</v>
      </c>
      <c r="AI21" s="3">
        <v>4.7E-2</v>
      </c>
      <c r="AJ21" s="3">
        <v>0.23899999999999999</v>
      </c>
      <c r="AK21" s="3">
        <v>0</v>
      </c>
      <c r="AL21" s="4">
        <v>0</v>
      </c>
    </row>
    <row r="22" spans="1:38" x14ac:dyDescent="0.25">
      <c r="A22" s="12" t="s">
        <v>37</v>
      </c>
      <c r="B22" s="12" t="s">
        <v>48</v>
      </c>
      <c r="C22" s="5" t="s">
        <v>42</v>
      </c>
      <c r="D22" s="5"/>
      <c r="E22" s="6">
        <v>0.83599999999999997</v>
      </c>
      <c r="F22" s="6">
        <v>0.157</v>
      </c>
      <c r="G22" s="6">
        <v>0.26500000000000001</v>
      </c>
      <c r="H22" s="6">
        <v>0</v>
      </c>
      <c r="I22" s="7">
        <v>29</v>
      </c>
      <c r="J22" s="6">
        <v>0.38100000000000001</v>
      </c>
      <c r="K22" s="7">
        <v>190</v>
      </c>
      <c r="L22" s="7">
        <v>-1</v>
      </c>
      <c r="M22" s="7">
        <v>15918</v>
      </c>
      <c r="N22" s="7">
        <v>14462</v>
      </c>
      <c r="O22" s="4">
        <f t="shared" si="0"/>
        <v>1456</v>
      </c>
      <c r="P22" s="6">
        <v>0.10100000000000001</v>
      </c>
      <c r="Q22" s="7">
        <v>3826</v>
      </c>
      <c r="R22" s="6">
        <v>0.39100000000000001</v>
      </c>
      <c r="S22" s="7">
        <v>210.08</v>
      </c>
      <c r="T22" s="6">
        <v>-0.113</v>
      </c>
      <c r="U22" s="7">
        <v>14612</v>
      </c>
      <c r="V22" s="6">
        <v>-5.8000000000000003E-2</v>
      </c>
      <c r="W22" s="6">
        <v>3.0000000000000001E-3</v>
      </c>
      <c r="X22" s="6">
        <v>0.04</v>
      </c>
      <c r="Y22" s="6">
        <v>0.107</v>
      </c>
      <c r="Z22" s="6">
        <v>3.6999999999999998E-2</v>
      </c>
      <c r="AA22" s="6">
        <v>7.0000000000000007E-2</v>
      </c>
      <c r="AB22" s="6">
        <v>0.107</v>
      </c>
      <c r="AC22" s="6">
        <v>4.2000000000000003E-2</v>
      </c>
      <c r="AD22" s="6">
        <v>6.5000000000000002E-2</v>
      </c>
      <c r="AE22" s="6">
        <v>0.27400000000000002</v>
      </c>
      <c r="AF22" s="6">
        <v>0</v>
      </c>
      <c r="AG22" s="6">
        <v>0.27400000000000002</v>
      </c>
      <c r="AH22" s="6">
        <v>0.315</v>
      </c>
      <c r="AI22" s="6">
        <v>3.6999999999999998E-2</v>
      </c>
      <c r="AJ22" s="6">
        <v>0.27800000000000002</v>
      </c>
      <c r="AK22" s="6">
        <v>0</v>
      </c>
      <c r="AL22" s="7">
        <v>0</v>
      </c>
    </row>
    <row r="23" spans="1:38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0.86699999999999999</v>
      </c>
      <c r="F23" s="3">
        <v>0.26200000000000001</v>
      </c>
      <c r="G23" s="3">
        <v>0.17199999999999999</v>
      </c>
      <c r="H23" s="3">
        <v>0</v>
      </c>
      <c r="I23" s="4">
        <v>8</v>
      </c>
      <c r="J23" s="3">
        <v>-0.5</v>
      </c>
      <c r="K23" s="4">
        <v>56</v>
      </c>
      <c r="L23" s="4">
        <v>-9</v>
      </c>
      <c r="M23" s="4">
        <v>28425</v>
      </c>
      <c r="N23" s="4">
        <v>27355</v>
      </c>
      <c r="O23" s="4">
        <f t="shared" si="0"/>
        <v>1070</v>
      </c>
      <c r="P23" s="3">
        <v>3.9E-2</v>
      </c>
      <c r="Q23" s="4">
        <v>4702</v>
      </c>
      <c r="R23" s="3">
        <v>-0.315</v>
      </c>
      <c r="S23" s="4">
        <v>587.80999999999995</v>
      </c>
      <c r="T23" s="3">
        <v>0.371</v>
      </c>
      <c r="U23" s="4">
        <v>27676</v>
      </c>
      <c r="V23" s="3">
        <v>6.9000000000000006E-2</v>
      </c>
      <c r="W23" s="3">
        <v>0</v>
      </c>
      <c r="X23" s="3">
        <v>0.59699999999999998</v>
      </c>
      <c r="Y23" s="3">
        <v>0.58499999999999996</v>
      </c>
      <c r="Z23" s="3">
        <v>0.18099999999999999</v>
      </c>
      <c r="AA23" s="3">
        <v>0.40300000000000002</v>
      </c>
      <c r="AB23" s="3">
        <v>0.58499999999999996</v>
      </c>
      <c r="AC23" s="3">
        <v>0.18099999999999999</v>
      </c>
      <c r="AD23" s="3">
        <v>0.40300000000000002</v>
      </c>
      <c r="AE23" s="3">
        <v>0.23400000000000001</v>
      </c>
      <c r="AF23" s="3">
        <v>9.4E-2</v>
      </c>
      <c r="AG23" s="3">
        <v>0.14000000000000001</v>
      </c>
      <c r="AH23" s="3">
        <v>0.70899999999999996</v>
      </c>
      <c r="AI23" s="3">
        <v>0.18099999999999999</v>
      </c>
      <c r="AJ23" s="3">
        <v>0.52700000000000002</v>
      </c>
      <c r="AK23" s="3">
        <v>0</v>
      </c>
      <c r="AL23" s="4">
        <v>0</v>
      </c>
    </row>
    <row r="24" spans="1:38" x14ac:dyDescent="0.25">
      <c r="A24" s="12" t="s">
        <v>37</v>
      </c>
      <c r="B24" s="12" t="s">
        <v>59</v>
      </c>
      <c r="C24" s="5" t="s">
        <v>42</v>
      </c>
      <c r="D24" s="5"/>
      <c r="E24" s="6">
        <v>0.86699999999999999</v>
      </c>
      <c r="F24" s="6">
        <v>0.26200000000000001</v>
      </c>
      <c r="G24" s="6">
        <v>0.17199999999999999</v>
      </c>
      <c r="H24" s="6">
        <v>0</v>
      </c>
      <c r="I24" s="7">
        <v>8</v>
      </c>
      <c r="J24" s="6">
        <v>-0.5</v>
      </c>
      <c r="K24" s="7">
        <v>56</v>
      </c>
      <c r="L24" s="7">
        <v>-9</v>
      </c>
      <c r="M24" s="7">
        <v>28425</v>
      </c>
      <c r="N24" s="7">
        <v>27355</v>
      </c>
      <c r="O24" s="4">
        <f t="shared" si="0"/>
        <v>1070</v>
      </c>
      <c r="P24" s="6">
        <v>3.9E-2</v>
      </c>
      <c r="Q24" s="7">
        <v>4702</v>
      </c>
      <c r="R24" s="6">
        <v>-0.315</v>
      </c>
      <c r="S24" s="7">
        <v>587.80999999999995</v>
      </c>
      <c r="T24" s="6">
        <v>0.371</v>
      </c>
      <c r="U24" s="7">
        <v>27676</v>
      </c>
      <c r="V24" s="6">
        <v>6.9000000000000006E-2</v>
      </c>
      <c r="W24" s="6">
        <v>0</v>
      </c>
      <c r="X24" s="6">
        <v>0.59699999999999998</v>
      </c>
      <c r="Y24" s="6">
        <v>0.58499999999999996</v>
      </c>
      <c r="Z24" s="6">
        <v>0.18099999999999999</v>
      </c>
      <c r="AA24" s="6">
        <v>0.40300000000000002</v>
      </c>
      <c r="AB24" s="6">
        <v>0.58499999999999996</v>
      </c>
      <c r="AC24" s="6">
        <v>0.18099999999999999</v>
      </c>
      <c r="AD24" s="6">
        <v>0.40300000000000002</v>
      </c>
      <c r="AE24" s="6">
        <v>0.23400000000000001</v>
      </c>
      <c r="AF24" s="6">
        <v>9.4E-2</v>
      </c>
      <c r="AG24" s="6">
        <v>0.14000000000000001</v>
      </c>
      <c r="AH24" s="6">
        <v>0.70899999999999996</v>
      </c>
      <c r="AI24" s="6">
        <v>0.18099999999999999</v>
      </c>
      <c r="AJ24" s="6">
        <v>0.52700000000000002</v>
      </c>
      <c r="AK24" s="6">
        <v>0</v>
      </c>
      <c r="AL24" s="7">
        <v>0</v>
      </c>
    </row>
    <row r="25" spans="1:38" x14ac:dyDescent="0.25">
      <c r="A25" s="12" t="s">
        <v>37</v>
      </c>
      <c r="B25" s="5" t="s">
        <v>42</v>
      </c>
      <c r="C25" s="5"/>
      <c r="D25" s="5"/>
      <c r="E25" s="6">
        <v>0.88</v>
      </c>
      <c r="F25" s="6">
        <v>0.13200000000000001</v>
      </c>
      <c r="G25" s="6">
        <v>0.12</v>
      </c>
      <c r="H25" s="6">
        <v>0</v>
      </c>
      <c r="I25" s="7">
        <v>491</v>
      </c>
      <c r="J25" s="6">
        <v>0.215</v>
      </c>
      <c r="K25" s="7">
        <v>3608</v>
      </c>
      <c r="L25" s="7">
        <v>16</v>
      </c>
      <c r="M25" s="7">
        <v>1126691</v>
      </c>
      <c r="N25" s="7">
        <v>1126757</v>
      </c>
      <c r="O25" s="4">
        <f t="shared" si="0"/>
        <v>-66</v>
      </c>
      <c r="P25" s="6">
        <v>0</v>
      </c>
      <c r="Q25" s="7">
        <v>135583</v>
      </c>
      <c r="R25" s="6">
        <v>3.2000000000000001E-2</v>
      </c>
      <c r="S25" s="7">
        <v>290.64</v>
      </c>
      <c r="T25" s="6">
        <v>-0.13</v>
      </c>
      <c r="U25" s="7">
        <v>1120238</v>
      </c>
      <c r="V25" s="6">
        <v>-7.0000000000000001E-3</v>
      </c>
      <c r="W25" s="6">
        <v>7.0000000000000001E-3</v>
      </c>
      <c r="X25" s="6">
        <v>0.66200000000000003</v>
      </c>
      <c r="Y25" s="6">
        <v>0.67700000000000005</v>
      </c>
      <c r="Z25" s="6">
        <v>0.504</v>
      </c>
      <c r="AA25" s="6">
        <v>0.17299999999999999</v>
      </c>
      <c r="AB25" s="6">
        <v>0.67700000000000005</v>
      </c>
      <c r="AC25" s="6">
        <v>0.504</v>
      </c>
      <c r="AD25" s="6">
        <v>0.17299999999999999</v>
      </c>
      <c r="AE25" s="6">
        <v>0.49199999999999999</v>
      </c>
      <c r="AF25" s="6">
        <v>0.68899999999999995</v>
      </c>
      <c r="AG25" s="6">
        <v>-0.19700000000000001</v>
      </c>
      <c r="AH25" s="6">
        <v>0.78800000000000003</v>
      </c>
      <c r="AI25" s="6">
        <v>0.504</v>
      </c>
      <c r="AJ25" s="6">
        <v>0.28499999999999998</v>
      </c>
      <c r="AK25" s="6">
        <v>0</v>
      </c>
      <c r="AL25" s="7">
        <v>0</v>
      </c>
    </row>
    <row r="26" spans="1:38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1.2010000000000001</v>
      </c>
      <c r="F26" s="3">
        <v>0.122</v>
      </c>
      <c r="G26" s="3">
        <v>0.14199999999999999</v>
      </c>
      <c r="H26" s="3">
        <v>0</v>
      </c>
      <c r="I26" s="4">
        <v>8</v>
      </c>
      <c r="J26" s="3">
        <v>-0.111</v>
      </c>
      <c r="K26" s="4">
        <v>87</v>
      </c>
      <c r="L26" s="4">
        <v>-3</v>
      </c>
      <c r="M26" s="4">
        <v>8149</v>
      </c>
      <c r="N26" s="4">
        <v>6064</v>
      </c>
      <c r="O26" s="4">
        <f t="shared" si="0"/>
        <v>2085</v>
      </c>
      <c r="P26" s="3">
        <v>0.34399999999999997</v>
      </c>
      <c r="Q26" s="4">
        <v>864</v>
      </c>
      <c r="R26" s="3">
        <v>1.6819999999999999</v>
      </c>
      <c r="S26" s="4">
        <v>120.28</v>
      </c>
      <c r="T26" s="3">
        <v>2.36</v>
      </c>
      <c r="U26" s="4">
        <v>9458</v>
      </c>
      <c r="V26" s="3">
        <v>-7.0999999999999994E-2</v>
      </c>
      <c r="W26" s="3">
        <v>2.1000000000000001E-2</v>
      </c>
      <c r="X26" s="3">
        <v>0</v>
      </c>
      <c r="Y26" s="3">
        <v>0.161</v>
      </c>
      <c r="Z26" s="3">
        <v>0.24</v>
      </c>
      <c r="AA26" s="3">
        <v>-7.9000000000000001E-2</v>
      </c>
      <c r="AB26" s="3">
        <v>0.161</v>
      </c>
      <c r="AC26" s="3">
        <v>0.20399999999999999</v>
      </c>
      <c r="AD26" s="3">
        <v>-4.2999999999999997E-2</v>
      </c>
      <c r="AE26" s="3">
        <v>0</v>
      </c>
      <c r="AF26" s="3">
        <v>0</v>
      </c>
      <c r="AG26" s="3">
        <v>0</v>
      </c>
      <c r="AH26" s="3">
        <v>0.34699999999999998</v>
      </c>
      <c r="AI26" s="3">
        <v>0.24</v>
      </c>
      <c r="AJ26" s="3">
        <v>0.107</v>
      </c>
      <c r="AK26" s="3">
        <v>0</v>
      </c>
      <c r="AL26" s="4">
        <v>0</v>
      </c>
    </row>
    <row r="27" spans="1:38" x14ac:dyDescent="0.25">
      <c r="A27" s="12" t="s">
        <v>61</v>
      </c>
      <c r="B27" s="12" t="s">
        <v>39</v>
      </c>
      <c r="C27" s="5" t="s">
        <v>42</v>
      </c>
      <c r="D27" s="5"/>
      <c r="E27" s="6">
        <v>1.2010000000000001</v>
      </c>
      <c r="F27" s="6">
        <v>0.122</v>
      </c>
      <c r="G27" s="6">
        <v>0.14199999999999999</v>
      </c>
      <c r="H27" s="6">
        <v>0</v>
      </c>
      <c r="I27" s="7">
        <v>8</v>
      </c>
      <c r="J27" s="6">
        <v>-0.111</v>
      </c>
      <c r="K27" s="7">
        <v>87</v>
      </c>
      <c r="L27" s="7">
        <v>-3</v>
      </c>
      <c r="M27" s="7">
        <v>8149</v>
      </c>
      <c r="N27" s="7">
        <v>6064</v>
      </c>
      <c r="O27" s="4">
        <f t="shared" si="0"/>
        <v>2085</v>
      </c>
      <c r="P27" s="6">
        <v>0.34399999999999997</v>
      </c>
      <c r="Q27" s="7">
        <v>864</v>
      </c>
      <c r="R27" s="6">
        <v>1.6819999999999999</v>
      </c>
      <c r="S27" s="7">
        <v>120.28</v>
      </c>
      <c r="T27" s="6">
        <v>2.36</v>
      </c>
      <c r="U27" s="7">
        <v>9458</v>
      </c>
      <c r="V27" s="6">
        <v>-7.0999999999999994E-2</v>
      </c>
      <c r="W27" s="6">
        <v>2.1000000000000001E-2</v>
      </c>
      <c r="X27" s="6">
        <v>0</v>
      </c>
      <c r="Y27" s="6">
        <v>0.161</v>
      </c>
      <c r="Z27" s="6">
        <v>0.24</v>
      </c>
      <c r="AA27" s="6">
        <v>-7.9000000000000001E-2</v>
      </c>
      <c r="AB27" s="6">
        <v>0.161</v>
      </c>
      <c r="AC27" s="6">
        <v>0.20399999999999999</v>
      </c>
      <c r="AD27" s="6">
        <v>-4.2999999999999997E-2</v>
      </c>
      <c r="AE27" s="6">
        <v>0</v>
      </c>
      <c r="AF27" s="6">
        <v>0</v>
      </c>
      <c r="AG27" s="6">
        <v>0</v>
      </c>
      <c r="AH27" s="6">
        <v>0.34699999999999998</v>
      </c>
      <c r="AI27" s="6">
        <v>0.24</v>
      </c>
      <c r="AJ27" s="6">
        <v>0.107</v>
      </c>
      <c r="AK27" s="6">
        <v>0</v>
      </c>
      <c r="AL27" s="7">
        <v>0</v>
      </c>
    </row>
    <row r="28" spans="1:38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0.48599999999999999</v>
      </c>
      <c r="F28" s="3">
        <v>0.34100000000000003</v>
      </c>
      <c r="G28" s="3">
        <v>0.61199999999999999</v>
      </c>
      <c r="H28" s="3">
        <v>0</v>
      </c>
      <c r="I28" s="4">
        <v>35</v>
      </c>
      <c r="J28" s="3">
        <v>0.66700000000000004</v>
      </c>
      <c r="K28" s="4">
        <v>62</v>
      </c>
      <c r="L28" s="4">
        <v>21</v>
      </c>
      <c r="M28" s="4">
        <v>37479</v>
      </c>
      <c r="N28" s="4">
        <v>34119</v>
      </c>
      <c r="O28" s="4">
        <f t="shared" si="0"/>
        <v>3360</v>
      </c>
      <c r="P28" s="3">
        <v>9.8000000000000004E-2</v>
      </c>
      <c r="Q28" s="4">
        <v>20892</v>
      </c>
      <c r="R28" s="3">
        <v>-3.1E-2</v>
      </c>
      <c r="S28" s="4">
        <v>554.17999999999995</v>
      </c>
      <c r="T28" s="3">
        <v>-0.46</v>
      </c>
      <c r="U28" s="4">
        <v>34747</v>
      </c>
      <c r="V28" s="3">
        <v>0.625</v>
      </c>
      <c r="W28" s="3">
        <v>0</v>
      </c>
      <c r="X28" s="3">
        <v>0.71</v>
      </c>
      <c r="Y28" s="3">
        <v>0.72</v>
      </c>
      <c r="Z28" s="3">
        <v>0.68700000000000006</v>
      </c>
      <c r="AA28" s="3">
        <v>3.3000000000000002E-2</v>
      </c>
      <c r="AB28" s="3">
        <v>0.72</v>
      </c>
      <c r="AC28" s="3">
        <v>0.68700000000000006</v>
      </c>
      <c r="AD28" s="3">
        <v>3.3000000000000002E-2</v>
      </c>
      <c r="AE28" s="3">
        <v>0</v>
      </c>
      <c r="AF28" s="3">
        <v>0</v>
      </c>
      <c r="AG28" s="3">
        <v>0</v>
      </c>
      <c r="AH28" s="3">
        <v>0.79</v>
      </c>
      <c r="AI28" s="3">
        <v>0.68700000000000006</v>
      </c>
      <c r="AJ28" s="3">
        <v>0.10299999999999999</v>
      </c>
      <c r="AK28" s="3">
        <v>0</v>
      </c>
      <c r="AL28" s="4">
        <v>0</v>
      </c>
    </row>
    <row r="29" spans="1:38" x14ac:dyDescent="0.25">
      <c r="A29" s="12" t="s">
        <v>61</v>
      </c>
      <c r="B29" s="12" t="s">
        <v>43</v>
      </c>
      <c r="C29" s="5" t="s">
        <v>42</v>
      </c>
      <c r="D29" s="5"/>
      <c r="E29" s="6">
        <v>0.48599999999999999</v>
      </c>
      <c r="F29" s="6">
        <v>0.34100000000000003</v>
      </c>
      <c r="G29" s="6">
        <v>0.61199999999999999</v>
      </c>
      <c r="H29" s="6">
        <v>0</v>
      </c>
      <c r="I29" s="7">
        <v>35</v>
      </c>
      <c r="J29" s="6">
        <v>0.66700000000000004</v>
      </c>
      <c r="K29" s="7">
        <v>62</v>
      </c>
      <c r="L29" s="7">
        <v>21</v>
      </c>
      <c r="M29" s="7">
        <v>37479</v>
      </c>
      <c r="N29" s="7">
        <v>34119</v>
      </c>
      <c r="O29" s="4">
        <f t="shared" si="0"/>
        <v>3360</v>
      </c>
      <c r="P29" s="6">
        <v>9.8000000000000004E-2</v>
      </c>
      <c r="Q29" s="7">
        <v>20892</v>
      </c>
      <c r="R29" s="6">
        <v>-3.1E-2</v>
      </c>
      <c r="S29" s="7">
        <v>554.17999999999995</v>
      </c>
      <c r="T29" s="6">
        <v>-0.46</v>
      </c>
      <c r="U29" s="7">
        <v>34747</v>
      </c>
      <c r="V29" s="6">
        <v>0.625</v>
      </c>
      <c r="W29" s="6">
        <v>0</v>
      </c>
      <c r="X29" s="6">
        <v>0.71</v>
      </c>
      <c r="Y29" s="6">
        <v>0.72</v>
      </c>
      <c r="Z29" s="6">
        <v>0.68700000000000006</v>
      </c>
      <c r="AA29" s="6">
        <v>3.3000000000000002E-2</v>
      </c>
      <c r="AB29" s="6">
        <v>0.72</v>
      </c>
      <c r="AC29" s="6">
        <v>0.68700000000000006</v>
      </c>
      <c r="AD29" s="6">
        <v>3.3000000000000002E-2</v>
      </c>
      <c r="AE29" s="6">
        <v>0</v>
      </c>
      <c r="AF29" s="6">
        <v>0</v>
      </c>
      <c r="AG29" s="6">
        <v>0</v>
      </c>
      <c r="AH29" s="6">
        <v>0.79</v>
      </c>
      <c r="AI29" s="6">
        <v>0.68700000000000006</v>
      </c>
      <c r="AJ29" s="6">
        <v>0.10299999999999999</v>
      </c>
      <c r="AK29" s="6">
        <v>0</v>
      </c>
      <c r="AL29" s="7">
        <v>0</v>
      </c>
    </row>
    <row r="30" spans="1:38" x14ac:dyDescent="0.25">
      <c r="A30" s="12" t="s">
        <v>61</v>
      </c>
      <c r="B30" s="12" t="s">
        <v>64</v>
      </c>
      <c r="C30" s="2" t="s">
        <v>65</v>
      </c>
      <c r="D30" s="2" t="s">
        <v>65</v>
      </c>
      <c r="E30" s="3">
        <v>0.70699999999999996</v>
      </c>
      <c r="F30" s="3">
        <v>0.17</v>
      </c>
      <c r="G30" s="3">
        <v>0.13100000000000001</v>
      </c>
      <c r="H30" s="3">
        <v>0</v>
      </c>
      <c r="I30" s="4">
        <v>10</v>
      </c>
      <c r="J30" s="3">
        <v>0.66700000000000004</v>
      </c>
      <c r="K30" s="4">
        <v>49</v>
      </c>
      <c r="L30" s="4">
        <v>2</v>
      </c>
      <c r="M30" s="4">
        <v>51233</v>
      </c>
      <c r="N30" s="4">
        <v>61152</v>
      </c>
      <c r="O30" s="4">
        <f t="shared" si="0"/>
        <v>-9919</v>
      </c>
      <c r="P30" s="3">
        <v>-0.16200000000000001</v>
      </c>
      <c r="Q30" s="4">
        <v>7990</v>
      </c>
      <c r="R30" s="3">
        <v>0.94099999999999995</v>
      </c>
      <c r="S30" s="4">
        <v>799.02</v>
      </c>
      <c r="T30" s="3">
        <v>0.26200000000000001</v>
      </c>
      <c r="U30" s="4">
        <v>54658</v>
      </c>
      <c r="V30" s="3">
        <v>-8.6999999999999994E-2</v>
      </c>
      <c r="W30" s="3">
        <v>8.9999999999999993E-3</v>
      </c>
      <c r="X30" s="3">
        <v>0.68</v>
      </c>
      <c r="Y30" s="3">
        <v>0.70099999999999996</v>
      </c>
      <c r="Z30" s="3">
        <v>0.81899999999999995</v>
      </c>
      <c r="AA30" s="3">
        <v>-0.11799999999999999</v>
      </c>
      <c r="AB30" s="3">
        <v>0.70099999999999996</v>
      </c>
      <c r="AC30" s="3">
        <v>0.81899999999999995</v>
      </c>
      <c r="AD30" s="3">
        <v>-0.11799999999999999</v>
      </c>
      <c r="AE30" s="3">
        <v>1.43</v>
      </c>
      <c r="AF30" s="3">
        <v>3.5390000000000001</v>
      </c>
      <c r="AG30" s="3">
        <v>-2.109</v>
      </c>
      <c r="AH30" s="3">
        <v>0.90300000000000002</v>
      </c>
      <c r="AI30" s="3">
        <v>0.81899999999999995</v>
      </c>
      <c r="AJ30" s="3">
        <v>8.4000000000000005E-2</v>
      </c>
      <c r="AK30" s="3">
        <v>0</v>
      </c>
      <c r="AL30" s="4">
        <v>0</v>
      </c>
    </row>
    <row r="31" spans="1:38" x14ac:dyDescent="0.25">
      <c r="A31" s="12" t="s">
        <v>61</v>
      </c>
      <c r="B31" s="12" t="s">
        <v>64</v>
      </c>
      <c r="C31" s="5" t="s">
        <v>42</v>
      </c>
      <c r="D31" s="5"/>
      <c r="E31" s="6">
        <v>0.70699999999999996</v>
      </c>
      <c r="F31" s="6">
        <v>0.17</v>
      </c>
      <c r="G31" s="6">
        <v>0.13100000000000001</v>
      </c>
      <c r="H31" s="6">
        <v>0</v>
      </c>
      <c r="I31" s="7">
        <v>10</v>
      </c>
      <c r="J31" s="6">
        <v>0.66700000000000004</v>
      </c>
      <c r="K31" s="7">
        <v>49</v>
      </c>
      <c r="L31" s="7">
        <v>2</v>
      </c>
      <c r="M31" s="7">
        <v>51233</v>
      </c>
      <c r="N31" s="7">
        <v>61152</v>
      </c>
      <c r="O31" s="4">
        <f t="shared" si="0"/>
        <v>-9919</v>
      </c>
      <c r="P31" s="6">
        <v>-0.16200000000000001</v>
      </c>
      <c r="Q31" s="7">
        <v>7990</v>
      </c>
      <c r="R31" s="6">
        <v>0.94099999999999995</v>
      </c>
      <c r="S31" s="7">
        <v>799.02</v>
      </c>
      <c r="T31" s="6">
        <v>0.26200000000000001</v>
      </c>
      <c r="U31" s="7">
        <v>54658</v>
      </c>
      <c r="V31" s="6">
        <v>-8.6999999999999994E-2</v>
      </c>
      <c r="W31" s="6">
        <v>8.9999999999999993E-3</v>
      </c>
      <c r="X31" s="6">
        <v>0.68</v>
      </c>
      <c r="Y31" s="6">
        <v>0.70099999999999996</v>
      </c>
      <c r="Z31" s="6">
        <v>0.81899999999999995</v>
      </c>
      <c r="AA31" s="6">
        <v>-0.11799999999999999</v>
      </c>
      <c r="AB31" s="6">
        <v>0.70099999999999996</v>
      </c>
      <c r="AC31" s="6">
        <v>0.81899999999999995</v>
      </c>
      <c r="AD31" s="6">
        <v>-0.11799999999999999</v>
      </c>
      <c r="AE31" s="6">
        <v>1.43</v>
      </c>
      <c r="AF31" s="6">
        <v>3.5390000000000001</v>
      </c>
      <c r="AG31" s="6">
        <v>-2.109</v>
      </c>
      <c r="AH31" s="6">
        <v>0.90300000000000002</v>
      </c>
      <c r="AI31" s="6">
        <v>0.81899999999999995</v>
      </c>
      <c r="AJ31" s="6">
        <v>8.4000000000000005E-2</v>
      </c>
      <c r="AK31" s="6">
        <v>0</v>
      </c>
      <c r="AL31" s="7">
        <v>0</v>
      </c>
    </row>
    <row r="32" spans="1:38" x14ac:dyDescent="0.25">
      <c r="A32" s="12" t="s">
        <v>61</v>
      </c>
      <c r="B32" s="12" t="s">
        <v>66</v>
      </c>
      <c r="C32" s="2" t="s">
        <v>55</v>
      </c>
      <c r="D32" s="2" t="s">
        <v>67</v>
      </c>
      <c r="E32" s="3">
        <v>0.94099999999999995</v>
      </c>
      <c r="F32" s="3">
        <v>0.14299999999999999</v>
      </c>
      <c r="G32" s="3">
        <v>4.4999999999999998E-2</v>
      </c>
      <c r="H32" s="3">
        <v>0</v>
      </c>
      <c r="I32" s="4">
        <v>6</v>
      </c>
      <c r="J32" s="3">
        <v>-0.4</v>
      </c>
      <c r="K32" s="4">
        <v>48</v>
      </c>
      <c r="L32" s="4">
        <v>-1</v>
      </c>
      <c r="M32" s="4">
        <v>57557</v>
      </c>
      <c r="N32" s="4">
        <v>58357</v>
      </c>
      <c r="O32" s="4">
        <f t="shared" si="0"/>
        <v>-800</v>
      </c>
      <c r="P32" s="3">
        <v>-1.4E-2</v>
      </c>
      <c r="Q32" s="4">
        <v>2629</v>
      </c>
      <c r="R32" s="3">
        <v>-0.73499999999999999</v>
      </c>
      <c r="S32" s="4">
        <v>522.89</v>
      </c>
      <c r="T32" s="3">
        <v>-0.51500000000000001</v>
      </c>
      <c r="U32" s="4">
        <v>58022</v>
      </c>
      <c r="V32" s="3">
        <v>1.4999999999999999E-2</v>
      </c>
      <c r="W32" s="3">
        <v>4.5999999999999999E-2</v>
      </c>
      <c r="X32" s="3">
        <v>3.9E-2</v>
      </c>
      <c r="Y32" s="3">
        <v>0.27500000000000002</v>
      </c>
      <c r="Z32" s="3">
        <v>0.253</v>
      </c>
      <c r="AA32" s="3">
        <v>2.3E-2</v>
      </c>
      <c r="AB32" s="3">
        <v>0.27500000000000002</v>
      </c>
      <c r="AC32" s="3">
        <v>0.253</v>
      </c>
      <c r="AD32" s="3">
        <v>2.3E-2</v>
      </c>
      <c r="AE32" s="3">
        <v>0</v>
      </c>
      <c r="AF32" s="3">
        <v>0</v>
      </c>
      <c r="AG32" s="3">
        <v>0</v>
      </c>
      <c r="AH32" s="3">
        <v>0.47399999999999998</v>
      </c>
      <c r="AI32" s="3">
        <v>0.253</v>
      </c>
      <c r="AJ32" s="3">
        <v>0.222</v>
      </c>
      <c r="AK32" s="3">
        <v>0</v>
      </c>
      <c r="AL32" s="4">
        <v>0</v>
      </c>
    </row>
    <row r="33" spans="1:38" x14ac:dyDescent="0.25">
      <c r="A33" s="12" t="s">
        <v>61</v>
      </c>
      <c r="B33" s="12" t="s">
        <v>66</v>
      </c>
      <c r="C33" s="5" t="s">
        <v>42</v>
      </c>
      <c r="D33" s="5"/>
      <c r="E33" s="6">
        <v>0.94099999999999995</v>
      </c>
      <c r="F33" s="6">
        <v>0.14299999999999999</v>
      </c>
      <c r="G33" s="6">
        <v>4.4999999999999998E-2</v>
      </c>
      <c r="H33" s="6">
        <v>0</v>
      </c>
      <c r="I33" s="7">
        <v>6</v>
      </c>
      <c r="J33" s="6">
        <v>-0.4</v>
      </c>
      <c r="K33" s="7">
        <v>48</v>
      </c>
      <c r="L33" s="7">
        <v>-1</v>
      </c>
      <c r="M33" s="7">
        <v>57557</v>
      </c>
      <c r="N33" s="7">
        <v>58357</v>
      </c>
      <c r="O33" s="4">
        <f t="shared" si="0"/>
        <v>-800</v>
      </c>
      <c r="P33" s="6">
        <v>-1.4E-2</v>
      </c>
      <c r="Q33" s="7">
        <v>2629</v>
      </c>
      <c r="R33" s="6">
        <v>-0.73499999999999999</v>
      </c>
      <c r="S33" s="7">
        <v>522.89</v>
      </c>
      <c r="T33" s="6">
        <v>-0.51500000000000001</v>
      </c>
      <c r="U33" s="7">
        <v>58022</v>
      </c>
      <c r="V33" s="6">
        <v>1.4999999999999999E-2</v>
      </c>
      <c r="W33" s="6">
        <v>4.5999999999999999E-2</v>
      </c>
      <c r="X33" s="6">
        <v>3.9E-2</v>
      </c>
      <c r="Y33" s="6">
        <v>0.27500000000000002</v>
      </c>
      <c r="Z33" s="6">
        <v>0.253</v>
      </c>
      <c r="AA33" s="6">
        <v>2.3E-2</v>
      </c>
      <c r="AB33" s="6">
        <v>0.27500000000000002</v>
      </c>
      <c r="AC33" s="6">
        <v>0.253</v>
      </c>
      <c r="AD33" s="6">
        <v>2.3E-2</v>
      </c>
      <c r="AE33" s="6">
        <v>0</v>
      </c>
      <c r="AF33" s="6">
        <v>0</v>
      </c>
      <c r="AG33" s="6">
        <v>0</v>
      </c>
      <c r="AH33" s="6">
        <v>0.47399999999999998</v>
      </c>
      <c r="AI33" s="6">
        <v>0.253</v>
      </c>
      <c r="AJ33" s="6">
        <v>0.222</v>
      </c>
      <c r="AK33" s="6">
        <v>0</v>
      </c>
      <c r="AL33" s="7">
        <v>0</v>
      </c>
    </row>
    <row r="34" spans="1:38" x14ac:dyDescent="0.25">
      <c r="A34" s="12" t="s">
        <v>61</v>
      </c>
      <c r="B34" s="12" t="s">
        <v>68</v>
      </c>
      <c r="C34" s="2" t="s">
        <v>69</v>
      </c>
      <c r="D34" s="2" t="s">
        <v>70</v>
      </c>
      <c r="E34" s="3">
        <v>0.97</v>
      </c>
      <c r="F34" s="3">
        <v>7.6999999999999999E-2</v>
      </c>
      <c r="G34" s="3">
        <v>9.9000000000000005E-2</v>
      </c>
      <c r="H34" s="3">
        <v>0</v>
      </c>
      <c r="I34" s="4">
        <v>2</v>
      </c>
      <c r="J34" s="3">
        <v>-0.5</v>
      </c>
      <c r="K34" s="4">
        <v>14</v>
      </c>
      <c r="L34" s="4">
        <v>1</v>
      </c>
      <c r="M34" s="4">
        <v>6753</v>
      </c>
      <c r="N34" s="4">
        <v>6318</v>
      </c>
      <c r="O34" s="4">
        <f t="shared" si="0"/>
        <v>435</v>
      </c>
      <c r="P34" s="3">
        <v>6.9000000000000006E-2</v>
      </c>
      <c r="Q34" s="4">
        <v>625</v>
      </c>
      <c r="R34" s="3">
        <v>-0.69099999999999995</v>
      </c>
      <c r="S34" s="4">
        <v>491.27</v>
      </c>
      <c r="T34" s="3">
        <v>-2.9000000000000001E-2</v>
      </c>
      <c r="U34" s="4">
        <v>6630</v>
      </c>
      <c r="V34" s="3">
        <v>0.16800000000000001</v>
      </c>
      <c r="W34" s="3">
        <v>0</v>
      </c>
      <c r="X34" s="3">
        <v>0</v>
      </c>
      <c r="Y34" s="3">
        <v>2.7E-2</v>
      </c>
      <c r="Z34" s="3">
        <v>1.377</v>
      </c>
      <c r="AA34" s="3">
        <v>-1.35</v>
      </c>
      <c r="AB34" s="3">
        <v>2.7E-2</v>
      </c>
      <c r="AC34" s="3">
        <v>1.377</v>
      </c>
      <c r="AD34" s="3">
        <v>-1.35</v>
      </c>
      <c r="AE34" s="3">
        <v>0</v>
      </c>
      <c r="AF34" s="3">
        <v>1.089</v>
      </c>
      <c r="AG34" s="3">
        <v>-1.089</v>
      </c>
      <c r="AH34" s="3">
        <v>0.17699999999999999</v>
      </c>
      <c r="AI34" s="3">
        <v>1.377</v>
      </c>
      <c r="AJ34" s="3">
        <v>-1.2</v>
      </c>
      <c r="AK34" s="3">
        <v>0</v>
      </c>
      <c r="AL34" s="4">
        <v>0</v>
      </c>
    </row>
    <row r="35" spans="1:38" x14ac:dyDescent="0.25">
      <c r="A35" s="12" t="s">
        <v>61</v>
      </c>
      <c r="B35" s="12" t="s">
        <v>68</v>
      </c>
      <c r="C35" s="5" t="s">
        <v>42</v>
      </c>
      <c r="D35" s="5"/>
      <c r="E35" s="6">
        <v>0.97</v>
      </c>
      <c r="F35" s="6">
        <v>7.6999999999999999E-2</v>
      </c>
      <c r="G35" s="6">
        <v>9.9000000000000005E-2</v>
      </c>
      <c r="H35" s="6">
        <v>0</v>
      </c>
      <c r="I35" s="7">
        <v>2</v>
      </c>
      <c r="J35" s="6">
        <v>-0.5</v>
      </c>
      <c r="K35" s="7">
        <v>14</v>
      </c>
      <c r="L35" s="7">
        <v>1</v>
      </c>
      <c r="M35" s="7">
        <v>6753</v>
      </c>
      <c r="N35" s="7">
        <v>6318</v>
      </c>
      <c r="O35" s="4">
        <f t="shared" si="0"/>
        <v>435</v>
      </c>
      <c r="P35" s="6">
        <v>6.9000000000000006E-2</v>
      </c>
      <c r="Q35" s="7">
        <v>625</v>
      </c>
      <c r="R35" s="6">
        <v>-0.69099999999999995</v>
      </c>
      <c r="S35" s="7">
        <v>491.27</v>
      </c>
      <c r="T35" s="6">
        <v>-2.9000000000000001E-2</v>
      </c>
      <c r="U35" s="7">
        <v>6630</v>
      </c>
      <c r="V35" s="6">
        <v>0.16800000000000001</v>
      </c>
      <c r="W35" s="6">
        <v>0</v>
      </c>
      <c r="X35" s="6">
        <v>0</v>
      </c>
      <c r="Y35" s="6">
        <v>2.7E-2</v>
      </c>
      <c r="Z35" s="6">
        <v>1.377</v>
      </c>
      <c r="AA35" s="6">
        <v>-1.35</v>
      </c>
      <c r="AB35" s="6">
        <v>2.7E-2</v>
      </c>
      <c r="AC35" s="6">
        <v>1.377</v>
      </c>
      <c r="AD35" s="6">
        <v>-1.35</v>
      </c>
      <c r="AE35" s="6">
        <v>0</v>
      </c>
      <c r="AF35" s="6">
        <v>1.089</v>
      </c>
      <c r="AG35" s="6">
        <v>-1.089</v>
      </c>
      <c r="AH35" s="6">
        <v>0.17699999999999999</v>
      </c>
      <c r="AI35" s="6">
        <v>1.377</v>
      </c>
      <c r="AJ35" s="6">
        <v>-1.2</v>
      </c>
      <c r="AK35" s="6">
        <v>0</v>
      </c>
      <c r="AL35" s="7">
        <v>0</v>
      </c>
    </row>
    <row r="36" spans="1:38" x14ac:dyDescent="0.25">
      <c r="A36" s="12" t="s">
        <v>61</v>
      </c>
      <c r="B36" s="12" t="s">
        <v>46</v>
      </c>
      <c r="C36" s="2" t="s">
        <v>71</v>
      </c>
      <c r="D36" s="2" t="s">
        <v>71</v>
      </c>
      <c r="E36" s="3">
        <v>0.90800000000000003</v>
      </c>
      <c r="F36" s="3">
        <v>0.123</v>
      </c>
      <c r="G36" s="3">
        <v>0.13</v>
      </c>
      <c r="H36" s="3">
        <v>0</v>
      </c>
      <c r="I36" s="4">
        <v>9</v>
      </c>
      <c r="J36" s="3">
        <v>-0.438</v>
      </c>
      <c r="K36" s="4">
        <v>66</v>
      </c>
      <c r="L36" s="4">
        <v>1</v>
      </c>
      <c r="M36" s="4">
        <v>33855</v>
      </c>
      <c r="N36" s="4">
        <v>32631</v>
      </c>
      <c r="O36" s="4">
        <f t="shared" si="0"/>
        <v>1224</v>
      </c>
      <c r="P36" s="3">
        <v>3.6999999999999998E-2</v>
      </c>
      <c r="Q36" s="4">
        <v>4231</v>
      </c>
      <c r="R36" s="3">
        <v>-0.48699999999999999</v>
      </c>
      <c r="S36" s="4">
        <v>470.08</v>
      </c>
      <c r="T36" s="3">
        <v>-5.8999999999999997E-2</v>
      </c>
      <c r="U36" s="4">
        <v>33535</v>
      </c>
      <c r="V36" s="3">
        <v>5.0999999999999997E-2</v>
      </c>
      <c r="W36" s="3">
        <v>6.0000000000000001E-3</v>
      </c>
      <c r="X36" s="3">
        <v>1.004</v>
      </c>
      <c r="Y36" s="3">
        <v>0.94799999999999995</v>
      </c>
      <c r="Z36" s="3">
        <v>0.747</v>
      </c>
      <c r="AA36" s="3">
        <v>0.20100000000000001</v>
      </c>
      <c r="AB36" s="3">
        <v>0.94799999999999995</v>
      </c>
      <c r="AC36" s="3">
        <v>0.747</v>
      </c>
      <c r="AD36" s="3">
        <v>0.20100000000000001</v>
      </c>
      <c r="AE36" s="3">
        <v>0.66900000000000004</v>
      </c>
      <c r="AF36" s="3">
        <v>0.26</v>
      </c>
      <c r="AG36" s="3">
        <v>0.40899999999999997</v>
      </c>
      <c r="AH36" s="3">
        <v>1.151</v>
      </c>
      <c r="AI36" s="3">
        <v>0.747</v>
      </c>
      <c r="AJ36" s="3">
        <v>0.40400000000000003</v>
      </c>
      <c r="AK36" s="3">
        <v>0</v>
      </c>
      <c r="AL36" s="4">
        <v>0</v>
      </c>
    </row>
    <row r="37" spans="1:38" x14ac:dyDescent="0.25">
      <c r="A37" s="12" t="s">
        <v>61</v>
      </c>
      <c r="B37" s="12" t="s">
        <v>46</v>
      </c>
      <c r="C37" s="2" t="s">
        <v>72</v>
      </c>
      <c r="D37" s="2" t="s">
        <v>72</v>
      </c>
      <c r="E37" s="3">
        <v>1.012</v>
      </c>
      <c r="F37" s="3">
        <v>9.4E-2</v>
      </c>
      <c r="G37" s="3">
        <v>5.1999999999999998E-2</v>
      </c>
      <c r="H37" s="3">
        <v>0</v>
      </c>
      <c r="I37" s="4">
        <v>2</v>
      </c>
      <c r="J37" s="3">
        <v>-0.66700000000000004</v>
      </c>
      <c r="K37" s="4">
        <v>31</v>
      </c>
      <c r="L37" s="4">
        <v>-1</v>
      </c>
      <c r="M37" s="4">
        <v>7236</v>
      </c>
      <c r="N37" s="4">
        <v>6806</v>
      </c>
      <c r="O37" s="4">
        <f t="shared" si="0"/>
        <v>430</v>
      </c>
      <c r="P37" s="3">
        <v>6.3E-2</v>
      </c>
      <c r="Q37" s="4">
        <v>351</v>
      </c>
      <c r="R37" s="3">
        <v>-0.56000000000000005</v>
      </c>
      <c r="S37" s="4">
        <v>175.66</v>
      </c>
      <c r="T37" s="3">
        <v>0.31900000000000001</v>
      </c>
      <c r="U37" s="4">
        <v>7171</v>
      </c>
      <c r="V37" s="3">
        <v>0</v>
      </c>
      <c r="W37" s="3">
        <v>0</v>
      </c>
      <c r="X37" s="3">
        <v>0.60299999999999998</v>
      </c>
      <c r="Y37" s="3">
        <v>0.56499999999999995</v>
      </c>
      <c r="Z37" s="3">
        <v>0.81100000000000005</v>
      </c>
      <c r="AA37" s="3">
        <v>-0.246</v>
      </c>
      <c r="AB37" s="3">
        <v>0.56499999999999995</v>
      </c>
      <c r="AC37" s="3">
        <v>0.8</v>
      </c>
      <c r="AD37" s="3">
        <v>-0.23499999999999999</v>
      </c>
      <c r="AE37" s="3">
        <v>0</v>
      </c>
      <c r="AF37" s="3">
        <v>0.98</v>
      </c>
      <c r="AG37" s="3">
        <v>-0.98</v>
      </c>
      <c r="AH37" s="3">
        <v>0.81699999999999995</v>
      </c>
      <c r="AI37" s="3">
        <v>0.81100000000000005</v>
      </c>
      <c r="AJ37" s="3">
        <v>6.0000000000000001E-3</v>
      </c>
      <c r="AK37" s="3">
        <v>0</v>
      </c>
      <c r="AL37" s="4">
        <v>0</v>
      </c>
    </row>
    <row r="38" spans="1:38" x14ac:dyDescent="0.25">
      <c r="A38" s="12" t="s">
        <v>61</v>
      </c>
      <c r="B38" s="12" t="s">
        <v>46</v>
      </c>
      <c r="C38" s="5" t="s">
        <v>42</v>
      </c>
      <c r="D38" s="5"/>
      <c r="E38" s="6">
        <v>0.92600000000000005</v>
      </c>
      <c r="F38" s="6">
        <v>0.113</v>
      </c>
      <c r="G38" s="6">
        <v>0.11600000000000001</v>
      </c>
      <c r="H38" s="6">
        <v>0</v>
      </c>
      <c r="I38" s="7">
        <v>11</v>
      </c>
      <c r="J38" s="6">
        <v>-0.5</v>
      </c>
      <c r="K38" s="7">
        <v>97</v>
      </c>
      <c r="L38" s="7">
        <v>0</v>
      </c>
      <c r="M38" s="7">
        <v>41091</v>
      </c>
      <c r="N38" s="7">
        <v>39437</v>
      </c>
      <c r="O38" s="4">
        <f t="shared" si="0"/>
        <v>1654</v>
      </c>
      <c r="P38" s="6">
        <v>4.2000000000000003E-2</v>
      </c>
      <c r="Q38" s="7">
        <v>4582</v>
      </c>
      <c r="R38" s="6">
        <v>-0.49299999999999999</v>
      </c>
      <c r="S38" s="7">
        <v>416.55</v>
      </c>
      <c r="T38" s="6">
        <v>3.5999999999999997E-2</v>
      </c>
      <c r="U38" s="7">
        <v>40706</v>
      </c>
      <c r="V38" s="6">
        <v>4.2000000000000003E-2</v>
      </c>
      <c r="W38" s="6">
        <v>5.0000000000000001E-3</v>
      </c>
      <c r="X38" s="6">
        <v>0.93400000000000005</v>
      </c>
      <c r="Y38" s="6">
        <v>0.88</v>
      </c>
      <c r="Z38" s="6">
        <v>0.75900000000000001</v>
      </c>
      <c r="AA38" s="6">
        <v>0.122</v>
      </c>
      <c r="AB38" s="6">
        <v>0.88</v>
      </c>
      <c r="AC38" s="6">
        <v>0.75700000000000001</v>
      </c>
      <c r="AD38" s="6">
        <v>0.124</v>
      </c>
      <c r="AE38" s="6">
        <v>0.63400000000000001</v>
      </c>
      <c r="AF38" s="6">
        <v>0.35299999999999998</v>
      </c>
      <c r="AG38" s="6">
        <v>0.28100000000000003</v>
      </c>
      <c r="AH38" s="6">
        <v>1.0920000000000001</v>
      </c>
      <c r="AI38" s="6">
        <v>0.75900000000000001</v>
      </c>
      <c r="AJ38" s="6">
        <v>0.33300000000000002</v>
      </c>
      <c r="AK38" s="6">
        <v>0</v>
      </c>
      <c r="AL38" s="7">
        <v>0</v>
      </c>
    </row>
    <row r="39" spans="1:38" ht="33.75" x14ac:dyDescent="0.25">
      <c r="A39" s="12" t="s">
        <v>61</v>
      </c>
      <c r="B39" s="12" t="s">
        <v>73</v>
      </c>
      <c r="C39" s="2" t="s">
        <v>73</v>
      </c>
      <c r="D39" s="2" t="s">
        <v>74</v>
      </c>
      <c r="E39" s="3">
        <v>0.77900000000000003</v>
      </c>
      <c r="F39" s="3">
        <v>0.222</v>
      </c>
      <c r="G39" s="3">
        <v>0.06</v>
      </c>
      <c r="H39" s="3">
        <v>0</v>
      </c>
      <c r="I39" s="4">
        <v>2</v>
      </c>
      <c r="J39" s="3">
        <v>-0.33300000000000002</v>
      </c>
      <c r="K39" s="4">
        <v>9</v>
      </c>
      <c r="L39" s="4">
        <v>0</v>
      </c>
      <c r="M39" s="4">
        <v>5641</v>
      </c>
      <c r="N39" s="4">
        <v>6724</v>
      </c>
      <c r="O39" s="4">
        <f t="shared" si="0"/>
        <v>-1083</v>
      </c>
      <c r="P39" s="3">
        <v>-0.161</v>
      </c>
      <c r="Q39" s="4">
        <v>406</v>
      </c>
      <c r="R39" s="3">
        <v>-0.753</v>
      </c>
      <c r="S39" s="4">
        <v>385.98</v>
      </c>
      <c r="T39" s="3">
        <v>-0.29499999999999998</v>
      </c>
      <c r="U39" s="4">
        <v>5778</v>
      </c>
      <c r="V39" s="3">
        <v>-7.0000000000000001E-3</v>
      </c>
      <c r="W39" s="3">
        <v>0</v>
      </c>
      <c r="X39" s="3">
        <v>0.26</v>
      </c>
      <c r="Y39" s="3">
        <v>0.29799999999999999</v>
      </c>
      <c r="Z39" s="3">
        <v>1.6240000000000001</v>
      </c>
      <c r="AA39" s="3">
        <v>-1.3260000000000001</v>
      </c>
      <c r="AB39" s="3">
        <v>0.29799999999999999</v>
      </c>
      <c r="AC39" s="3">
        <v>1.6240000000000001</v>
      </c>
      <c r="AD39" s="3">
        <v>-1.3260000000000001</v>
      </c>
      <c r="AE39" s="3">
        <v>0</v>
      </c>
      <c r="AF39" s="3">
        <v>0</v>
      </c>
      <c r="AG39" s="3">
        <v>0</v>
      </c>
      <c r="AH39" s="3">
        <v>0.47299999999999998</v>
      </c>
      <c r="AI39" s="3">
        <v>1.6240000000000001</v>
      </c>
      <c r="AJ39" s="3">
        <v>-1.151</v>
      </c>
      <c r="AK39" s="3">
        <v>0</v>
      </c>
      <c r="AL39" s="4">
        <v>0</v>
      </c>
    </row>
    <row r="40" spans="1:38" x14ac:dyDescent="0.25">
      <c r="A40" s="12" t="s">
        <v>61</v>
      </c>
      <c r="B40" s="12" t="s">
        <v>73</v>
      </c>
      <c r="C40" s="5" t="s">
        <v>42</v>
      </c>
      <c r="D40" s="5"/>
      <c r="E40" s="6">
        <v>0.77900000000000003</v>
      </c>
      <c r="F40" s="6">
        <v>0.222</v>
      </c>
      <c r="G40" s="6">
        <v>0.06</v>
      </c>
      <c r="H40" s="6">
        <v>0</v>
      </c>
      <c r="I40" s="7">
        <v>2</v>
      </c>
      <c r="J40" s="6">
        <v>-0.33300000000000002</v>
      </c>
      <c r="K40" s="7">
        <v>9</v>
      </c>
      <c r="L40" s="7">
        <v>0</v>
      </c>
      <c r="M40" s="7">
        <v>5641</v>
      </c>
      <c r="N40" s="7">
        <v>6724</v>
      </c>
      <c r="O40" s="4">
        <f t="shared" si="0"/>
        <v>-1083</v>
      </c>
      <c r="P40" s="6">
        <v>-0.161</v>
      </c>
      <c r="Q40" s="7">
        <v>406</v>
      </c>
      <c r="R40" s="6">
        <v>-0.753</v>
      </c>
      <c r="S40" s="7">
        <v>385.98</v>
      </c>
      <c r="T40" s="6">
        <v>-0.29499999999999998</v>
      </c>
      <c r="U40" s="7">
        <v>5778</v>
      </c>
      <c r="V40" s="6">
        <v>-7.0000000000000001E-3</v>
      </c>
      <c r="W40" s="6">
        <v>0</v>
      </c>
      <c r="X40" s="6">
        <v>0.26</v>
      </c>
      <c r="Y40" s="6">
        <v>0.29799999999999999</v>
      </c>
      <c r="Z40" s="6">
        <v>1.6240000000000001</v>
      </c>
      <c r="AA40" s="6">
        <v>-1.3260000000000001</v>
      </c>
      <c r="AB40" s="6">
        <v>0.29799999999999999</v>
      </c>
      <c r="AC40" s="6">
        <v>1.6240000000000001</v>
      </c>
      <c r="AD40" s="6">
        <v>-1.3260000000000001</v>
      </c>
      <c r="AE40" s="6">
        <v>0</v>
      </c>
      <c r="AF40" s="6">
        <v>0</v>
      </c>
      <c r="AG40" s="6">
        <v>0</v>
      </c>
      <c r="AH40" s="6">
        <v>0.47299999999999998</v>
      </c>
      <c r="AI40" s="6">
        <v>1.6240000000000001</v>
      </c>
      <c r="AJ40" s="6">
        <v>-1.151</v>
      </c>
      <c r="AK40" s="6">
        <v>0</v>
      </c>
      <c r="AL40" s="7">
        <v>0</v>
      </c>
    </row>
    <row r="41" spans="1:38" x14ac:dyDescent="0.25">
      <c r="A41" s="12" t="s">
        <v>61</v>
      </c>
      <c r="B41" s="5" t="s">
        <v>42</v>
      </c>
      <c r="C41" s="5"/>
      <c r="D41" s="5"/>
      <c r="E41" s="6">
        <v>0.80100000000000005</v>
      </c>
      <c r="F41" s="6">
        <v>0.156</v>
      </c>
      <c r="G41" s="6">
        <v>0.17899999999999999</v>
      </c>
      <c r="H41" s="6">
        <v>0</v>
      </c>
      <c r="I41" s="7">
        <v>74</v>
      </c>
      <c r="J41" s="6">
        <v>-1.2999999999999999E-2</v>
      </c>
      <c r="K41" s="7">
        <v>366</v>
      </c>
      <c r="L41" s="7">
        <v>20</v>
      </c>
      <c r="M41" s="7">
        <v>207902</v>
      </c>
      <c r="N41" s="7">
        <v>212171</v>
      </c>
      <c r="O41" s="4">
        <f t="shared" si="0"/>
        <v>-4269</v>
      </c>
      <c r="P41" s="6">
        <v>-0.02</v>
      </c>
      <c r="Q41" s="7">
        <v>37988</v>
      </c>
      <c r="R41" s="6">
        <v>-0.219</v>
      </c>
      <c r="S41" s="7">
        <v>518.72</v>
      </c>
      <c r="T41" s="6">
        <v>-0.19800000000000001</v>
      </c>
      <c r="U41" s="7">
        <v>209998</v>
      </c>
      <c r="V41" s="6">
        <v>5.3999999999999999E-2</v>
      </c>
      <c r="W41" s="6">
        <v>1.6E-2</v>
      </c>
      <c r="X41" s="6">
        <v>0.49299999999999999</v>
      </c>
      <c r="Y41" s="6">
        <v>0.56499999999999995</v>
      </c>
      <c r="Z41" s="6">
        <v>0.64</v>
      </c>
      <c r="AA41" s="6">
        <v>-7.5999999999999998E-2</v>
      </c>
      <c r="AB41" s="6">
        <v>0.56499999999999995</v>
      </c>
      <c r="AC41" s="6">
        <v>0.63800000000000001</v>
      </c>
      <c r="AD41" s="6">
        <v>-7.2999999999999995E-2</v>
      </c>
      <c r="AE41" s="6">
        <v>0.32900000000000001</v>
      </c>
      <c r="AF41" s="6">
        <v>0.375</v>
      </c>
      <c r="AG41" s="6">
        <v>-4.5999999999999999E-2</v>
      </c>
      <c r="AH41" s="6">
        <v>0.74199999999999999</v>
      </c>
      <c r="AI41" s="6">
        <v>0.64</v>
      </c>
      <c r="AJ41" s="6">
        <v>0.10199999999999999</v>
      </c>
      <c r="AK41" s="6">
        <v>0</v>
      </c>
      <c r="AL41" s="7">
        <v>0</v>
      </c>
    </row>
    <row r="42" spans="1:38" x14ac:dyDescent="0.25">
      <c r="A42" s="2" t="s">
        <v>75</v>
      </c>
      <c r="B42" s="2" t="s">
        <v>75</v>
      </c>
      <c r="C42" s="2" t="s">
        <v>75</v>
      </c>
      <c r="D42" s="2" t="s">
        <v>75</v>
      </c>
      <c r="E42" s="6">
        <v>0.86699999999999999</v>
      </c>
      <c r="F42" s="6">
        <v>0.13400000000000001</v>
      </c>
      <c r="G42" s="6">
        <v>0.13</v>
      </c>
      <c r="H42" s="6">
        <v>0</v>
      </c>
      <c r="I42" s="7">
        <v>565</v>
      </c>
      <c r="J42" s="6">
        <v>0.18</v>
      </c>
      <c r="K42" s="7">
        <v>3974</v>
      </c>
      <c r="L42" s="7">
        <v>36</v>
      </c>
      <c r="M42" s="7">
        <v>1334593</v>
      </c>
      <c r="N42" s="7">
        <v>1338927</v>
      </c>
      <c r="O42" s="4">
        <f t="shared" si="0"/>
        <v>-4334</v>
      </c>
      <c r="P42" s="6">
        <v>-3.0000000000000001E-3</v>
      </c>
      <c r="Q42" s="7">
        <v>173571</v>
      </c>
      <c r="R42" s="6">
        <v>-3.5999999999999997E-2</v>
      </c>
      <c r="S42" s="7">
        <v>321.58</v>
      </c>
      <c r="T42" s="6">
        <v>-0.16300000000000001</v>
      </c>
      <c r="U42" s="7">
        <v>1330236</v>
      </c>
      <c r="V42" s="6">
        <v>2E-3</v>
      </c>
      <c r="W42" s="6">
        <v>8.0000000000000002E-3</v>
      </c>
      <c r="X42" s="6">
        <v>0.63500000000000001</v>
      </c>
      <c r="Y42" s="6">
        <v>0.65900000000000003</v>
      </c>
      <c r="Z42" s="6">
        <v>0.52400000000000002</v>
      </c>
      <c r="AA42" s="6">
        <v>0.13500000000000001</v>
      </c>
      <c r="AB42" s="6">
        <v>0.65900000000000003</v>
      </c>
      <c r="AC42" s="6">
        <v>0.52400000000000002</v>
      </c>
      <c r="AD42" s="6">
        <v>0.13500000000000001</v>
      </c>
      <c r="AE42" s="6">
        <v>0.45600000000000002</v>
      </c>
      <c r="AF42" s="6">
        <v>0.61099999999999999</v>
      </c>
      <c r="AG42" s="6">
        <v>-0.155</v>
      </c>
      <c r="AH42" s="6">
        <v>0.78200000000000003</v>
      </c>
      <c r="AI42" s="6">
        <v>0.52400000000000002</v>
      </c>
      <c r="AJ42" s="6">
        <v>0.25700000000000001</v>
      </c>
      <c r="AK42" s="6">
        <v>0</v>
      </c>
      <c r="AL42" s="7">
        <v>0</v>
      </c>
    </row>
    <row r="44" spans="1:38" x14ac:dyDescent="0.25">
      <c r="A44" t="s">
        <v>76</v>
      </c>
      <c r="B44" t="s">
        <v>76</v>
      </c>
      <c r="C44" t="s">
        <v>76</v>
      </c>
    </row>
    <row r="45" spans="1:38" x14ac:dyDescent="0.25">
      <c r="A45" s="9" t="s">
        <v>77</v>
      </c>
      <c r="B45" s="9" t="s">
        <v>78</v>
      </c>
    </row>
  </sheetData>
  <mergeCells count="18">
    <mergeCell ref="A26:A41"/>
    <mergeCell ref="B26:B27"/>
    <mergeCell ref="B28:B29"/>
    <mergeCell ref="B30:B31"/>
    <mergeCell ref="B32:B33"/>
    <mergeCell ref="B34:B35"/>
    <mergeCell ref="B36:B38"/>
    <mergeCell ref="B39:B40"/>
    <mergeCell ref="A4:AL4"/>
    <mergeCell ref="A5:AL5"/>
    <mergeCell ref="A7:A25"/>
    <mergeCell ref="B7:B9"/>
    <mergeCell ref="B10:B11"/>
    <mergeCell ref="B12:B13"/>
    <mergeCell ref="B14:B15"/>
    <mergeCell ref="B16:B22"/>
    <mergeCell ref="C19:C20"/>
    <mergeCell ref="B23:B24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7AF6-82DD-42BA-AA18-D9C412AAAEFB}">
  <dimension ref="A4:AK48"/>
  <sheetViews>
    <sheetView workbookViewId="0">
      <selection activeCell="C18" sqref="C18"/>
    </sheetView>
  </sheetViews>
  <sheetFormatPr baseColWidth="10" defaultRowHeight="15" x14ac:dyDescent="0.25"/>
  <sheetData>
    <row r="4" spans="1:37" x14ac:dyDescent="0.25">
      <c r="A4" s="10" t="s">
        <v>0</v>
      </c>
      <c r="B4" s="10" t="s">
        <v>0</v>
      </c>
      <c r="C4" s="10" t="s">
        <v>0</v>
      </c>
      <c r="D4" s="10" t="s">
        <v>0</v>
      </c>
      <c r="E4" s="10" t="s">
        <v>0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0" t="s">
        <v>0</v>
      </c>
      <c r="AF4" s="10" t="s">
        <v>0</v>
      </c>
      <c r="AG4" s="10" t="s">
        <v>0</v>
      </c>
      <c r="AH4" s="10" t="s">
        <v>0</v>
      </c>
      <c r="AI4" s="10" t="s">
        <v>0</v>
      </c>
      <c r="AJ4" s="10" t="s">
        <v>0</v>
      </c>
      <c r="AK4" s="10" t="s">
        <v>0</v>
      </c>
    </row>
    <row r="5" spans="1:37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 t="s">
        <v>1</v>
      </c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</row>
    <row r="6" spans="1:37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27</v>
      </c>
      <c r="AD6" s="1" t="s">
        <v>30</v>
      </c>
      <c r="AE6" s="1" t="s">
        <v>31</v>
      </c>
      <c r="AF6" s="1" t="s">
        <v>27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</row>
    <row r="7" spans="1:37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1.131</v>
      </c>
      <c r="F7" s="3">
        <v>0.192</v>
      </c>
      <c r="G7" s="3">
        <v>4.7E-2</v>
      </c>
      <c r="H7" s="3">
        <v>4.7E-2</v>
      </c>
      <c r="I7" s="4">
        <v>1</v>
      </c>
      <c r="J7" s="3">
        <v>-0.5</v>
      </c>
      <c r="K7" s="4">
        <v>22</v>
      </c>
      <c r="L7" s="4">
        <v>-4</v>
      </c>
      <c r="M7" s="4">
        <v>3711</v>
      </c>
      <c r="N7" s="4">
        <v>3150</v>
      </c>
      <c r="O7" s="3">
        <v>0.17799999999999999</v>
      </c>
      <c r="P7" s="4">
        <v>149</v>
      </c>
      <c r="Q7" s="3">
        <v>-0.76100000000000001</v>
      </c>
      <c r="R7" s="4">
        <v>149.12</v>
      </c>
      <c r="S7" s="3">
        <v>-0.52300000000000002</v>
      </c>
      <c r="T7" s="4">
        <v>3854</v>
      </c>
      <c r="U7" s="3">
        <v>-4.4999999999999998E-2</v>
      </c>
      <c r="V7" s="3">
        <v>0</v>
      </c>
      <c r="W7" s="3">
        <v>1.79</v>
      </c>
      <c r="X7" s="3">
        <v>1.9350000000000001</v>
      </c>
      <c r="Y7" s="3">
        <v>0.153</v>
      </c>
      <c r="Z7" s="3">
        <v>1.782</v>
      </c>
      <c r="AA7" s="3">
        <v>1.9350000000000001</v>
      </c>
      <c r="AB7" s="3">
        <v>0.153</v>
      </c>
      <c r="AC7" s="3">
        <v>1.782</v>
      </c>
      <c r="AD7" s="3">
        <v>0</v>
      </c>
      <c r="AE7" s="3">
        <v>0</v>
      </c>
      <c r="AF7" s="3">
        <v>0</v>
      </c>
      <c r="AG7" s="3">
        <v>2.1549999999999998</v>
      </c>
      <c r="AH7" s="3">
        <v>0.153</v>
      </c>
      <c r="AI7" s="3">
        <v>2.0019999999999998</v>
      </c>
      <c r="AJ7" s="3">
        <v>2.3433000000000002</v>
      </c>
      <c r="AK7" s="4">
        <v>-5177</v>
      </c>
    </row>
    <row r="8" spans="1:37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1.0409999999999999</v>
      </c>
      <c r="F8" s="3">
        <v>2.1999999999999999E-2</v>
      </c>
      <c r="G8" s="3">
        <v>0.10100000000000001</v>
      </c>
      <c r="H8" s="3">
        <v>9.0999999999999998E-2</v>
      </c>
      <c r="I8" s="4">
        <v>5</v>
      </c>
      <c r="J8" s="3">
        <v>-0.28599999999999998</v>
      </c>
      <c r="K8" s="4">
        <v>49</v>
      </c>
      <c r="L8" s="4">
        <v>4</v>
      </c>
      <c r="M8" s="4">
        <v>8692</v>
      </c>
      <c r="N8" s="4">
        <v>7610</v>
      </c>
      <c r="O8" s="3">
        <v>0.14199999999999999</v>
      </c>
      <c r="P8" s="4">
        <v>770</v>
      </c>
      <c r="Q8" s="3">
        <v>-0.53</v>
      </c>
      <c r="R8" s="4">
        <v>154.08000000000001</v>
      </c>
      <c r="S8" s="3">
        <v>-0.34200000000000003</v>
      </c>
      <c r="T8" s="4">
        <v>8110</v>
      </c>
      <c r="U8" s="3">
        <v>0.14299999999999999</v>
      </c>
      <c r="V8" s="3">
        <v>0</v>
      </c>
      <c r="W8" s="3">
        <v>0</v>
      </c>
      <c r="X8" s="3">
        <v>-4.0000000000000001E-3</v>
      </c>
      <c r="Y8" s="3">
        <v>0.59099999999999997</v>
      </c>
      <c r="Z8" s="3">
        <v>-0.59499999999999997</v>
      </c>
      <c r="AA8" s="3">
        <v>-4.0000000000000001E-3</v>
      </c>
      <c r="AB8" s="3">
        <v>0.59099999999999997</v>
      </c>
      <c r="AC8" s="3">
        <v>-0.59499999999999997</v>
      </c>
      <c r="AD8" s="3">
        <v>0</v>
      </c>
      <c r="AE8" s="3">
        <v>3.8660000000000001</v>
      </c>
      <c r="AF8" s="3">
        <v>-3.8660000000000001</v>
      </c>
      <c r="AG8" s="3">
        <v>0.26600000000000001</v>
      </c>
      <c r="AH8" s="3">
        <v>0.59099999999999997</v>
      </c>
      <c r="AI8" s="3">
        <v>-0.32500000000000001</v>
      </c>
      <c r="AJ8" s="3">
        <v>0.72599999999999998</v>
      </c>
      <c r="AK8" s="4">
        <v>2222</v>
      </c>
    </row>
    <row r="9" spans="1:37" x14ac:dyDescent="0.25">
      <c r="A9" s="12" t="s">
        <v>37</v>
      </c>
      <c r="B9" s="12" t="s">
        <v>38</v>
      </c>
      <c r="C9" s="5" t="s">
        <v>42</v>
      </c>
      <c r="D9" s="5"/>
      <c r="E9" s="6">
        <v>1.0669999999999999</v>
      </c>
      <c r="F9" s="6">
        <v>8.5000000000000006E-2</v>
      </c>
      <c r="G9" s="6">
        <v>8.5000000000000006E-2</v>
      </c>
      <c r="H9" s="6">
        <v>7.8E-2</v>
      </c>
      <c r="I9" s="7">
        <v>6</v>
      </c>
      <c r="J9" s="6">
        <v>-0.33300000000000002</v>
      </c>
      <c r="K9" s="7">
        <v>71</v>
      </c>
      <c r="L9" s="7">
        <v>0</v>
      </c>
      <c r="M9" s="7">
        <v>12403</v>
      </c>
      <c r="N9" s="7">
        <v>10760</v>
      </c>
      <c r="O9" s="6">
        <v>0.153</v>
      </c>
      <c r="P9" s="7">
        <v>920</v>
      </c>
      <c r="Q9" s="6">
        <v>-0.59399999999999997</v>
      </c>
      <c r="R9" s="7">
        <v>153.26</v>
      </c>
      <c r="S9" s="6">
        <v>-0.39100000000000001</v>
      </c>
      <c r="T9" s="7">
        <v>11964</v>
      </c>
      <c r="U9" s="6">
        <v>7.4999999999999997E-2</v>
      </c>
      <c r="V9" s="6">
        <v>0</v>
      </c>
      <c r="W9" s="6">
        <v>0.57699999999999996</v>
      </c>
      <c r="X9" s="6">
        <v>0.621</v>
      </c>
      <c r="Y9" s="6">
        <v>0.432</v>
      </c>
      <c r="Z9" s="6">
        <v>0.189</v>
      </c>
      <c r="AA9" s="6">
        <v>0.621</v>
      </c>
      <c r="AB9" s="6">
        <v>0.432</v>
      </c>
      <c r="AC9" s="6">
        <v>0.189</v>
      </c>
      <c r="AD9" s="6">
        <v>0</v>
      </c>
      <c r="AE9" s="6">
        <v>3.3140000000000001</v>
      </c>
      <c r="AF9" s="6">
        <v>-3.3140000000000001</v>
      </c>
      <c r="AG9" s="6">
        <v>0.874</v>
      </c>
      <c r="AH9" s="6">
        <v>0.432</v>
      </c>
      <c r="AI9" s="6">
        <v>0.442</v>
      </c>
      <c r="AJ9" s="6">
        <v>1.2470000000000001</v>
      </c>
      <c r="AK9" s="7">
        <v>-2955</v>
      </c>
    </row>
    <row r="10" spans="1:37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0.86599999999999999</v>
      </c>
      <c r="F10" s="3">
        <v>0.14299999999999999</v>
      </c>
      <c r="G10" s="3">
        <v>0.12</v>
      </c>
      <c r="H10" s="3">
        <v>7.9000000000000001E-2</v>
      </c>
      <c r="I10" s="4">
        <v>358</v>
      </c>
      <c r="J10" s="3">
        <v>0.20899999999999999</v>
      </c>
      <c r="K10" s="4">
        <v>2515</v>
      </c>
      <c r="L10" s="4">
        <v>-1</v>
      </c>
      <c r="M10" s="4">
        <v>894661</v>
      </c>
      <c r="N10" s="4">
        <v>906976</v>
      </c>
      <c r="O10" s="3">
        <v>-1.4E-2</v>
      </c>
      <c r="P10" s="4">
        <v>108979</v>
      </c>
      <c r="Q10" s="3">
        <v>1E-3</v>
      </c>
      <c r="R10" s="4">
        <v>316.52999999999997</v>
      </c>
      <c r="S10" s="3">
        <v>-0.14599999999999999</v>
      </c>
      <c r="T10" s="4">
        <v>895173</v>
      </c>
      <c r="U10" s="3">
        <v>-1.7000000000000001E-2</v>
      </c>
      <c r="V10" s="3">
        <v>7.0000000000000001E-3</v>
      </c>
      <c r="W10" s="3">
        <v>0.69599999999999995</v>
      </c>
      <c r="X10" s="3">
        <v>0.69699999999999995</v>
      </c>
      <c r="Y10" s="3">
        <v>0.501</v>
      </c>
      <c r="Z10" s="3">
        <v>0.19600000000000001</v>
      </c>
      <c r="AA10" s="3">
        <v>0.69699999999999995</v>
      </c>
      <c r="AB10" s="3">
        <v>0.5</v>
      </c>
      <c r="AC10" s="3">
        <v>0.19600000000000001</v>
      </c>
      <c r="AD10" s="3">
        <v>0.49399999999999999</v>
      </c>
      <c r="AE10" s="3">
        <v>0.64200000000000002</v>
      </c>
      <c r="AF10" s="3">
        <v>-0.14799999999999999</v>
      </c>
      <c r="AG10" s="3">
        <v>0.78300000000000003</v>
      </c>
      <c r="AH10" s="3">
        <v>0.501</v>
      </c>
      <c r="AI10" s="3">
        <v>0.28299999999999997</v>
      </c>
      <c r="AJ10" s="3">
        <v>0.94879999999999998</v>
      </c>
      <c r="AK10" s="4">
        <v>45864</v>
      </c>
    </row>
    <row r="11" spans="1:37" x14ac:dyDescent="0.25">
      <c r="A11" s="12" t="s">
        <v>37</v>
      </c>
      <c r="B11" s="12" t="s">
        <v>43</v>
      </c>
      <c r="C11" s="5" t="s">
        <v>42</v>
      </c>
      <c r="D11" s="5"/>
      <c r="E11" s="6">
        <v>0.86599999999999999</v>
      </c>
      <c r="F11" s="6">
        <v>0.14299999999999999</v>
      </c>
      <c r="G11" s="6">
        <v>0.12</v>
      </c>
      <c r="H11" s="6">
        <v>7.9000000000000001E-2</v>
      </c>
      <c r="I11" s="7">
        <v>358</v>
      </c>
      <c r="J11" s="6">
        <v>0.20899999999999999</v>
      </c>
      <c r="K11" s="7">
        <v>2515</v>
      </c>
      <c r="L11" s="7">
        <v>-1</v>
      </c>
      <c r="M11" s="7">
        <v>894661</v>
      </c>
      <c r="N11" s="7">
        <v>906976</v>
      </c>
      <c r="O11" s="6">
        <v>-1.4E-2</v>
      </c>
      <c r="P11" s="7">
        <v>108979</v>
      </c>
      <c r="Q11" s="6">
        <v>1E-3</v>
      </c>
      <c r="R11" s="7">
        <v>316.52999999999997</v>
      </c>
      <c r="S11" s="6">
        <v>-0.14599999999999999</v>
      </c>
      <c r="T11" s="7">
        <v>895173</v>
      </c>
      <c r="U11" s="6">
        <v>-1.7000000000000001E-2</v>
      </c>
      <c r="V11" s="6">
        <v>7.0000000000000001E-3</v>
      </c>
      <c r="W11" s="6">
        <v>0.69599999999999995</v>
      </c>
      <c r="X11" s="6">
        <v>0.69699999999999995</v>
      </c>
      <c r="Y11" s="6">
        <v>0.501</v>
      </c>
      <c r="Z11" s="6">
        <v>0.19600000000000001</v>
      </c>
      <c r="AA11" s="6">
        <v>0.69699999999999995</v>
      </c>
      <c r="AB11" s="6">
        <v>0.5</v>
      </c>
      <c r="AC11" s="6">
        <v>0.19600000000000001</v>
      </c>
      <c r="AD11" s="6">
        <v>0.49399999999999999</v>
      </c>
      <c r="AE11" s="6">
        <v>0.64200000000000002</v>
      </c>
      <c r="AF11" s="6">
        <v>-0.14799999999999999</v>
      </c>
      <c r="AG11" s="6">
        <v>0.78300000000000003</v>
      </c>
      <c r="AH11" s="6">
        <v>0.501</v>
      </c>
      <c r="AI11" s="6">
        <v>0.28299999999999997</v>
      </c>
      <c r="AJ11" s="6">
        <v>0.94879999999999998</v>
      </c>
      <c r="AK11" s="7">
        <v>45864</v>
      </c>
    </row>
    <row r="12" spans="1:37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0.94299999999999995</v>
      </c>
      <c r="F12" s="3">
        <v>8.5000000000000006E-2</v>
      </c>
      <c r="G12" s="3">
        <v>0.10199999999999999</v>
      </c>
      <c r="H12" s="3">
        <v>6.9000000000000006E-2</v>
      </c>
      <c r="I12" s="4">
        <v>88</v>
      </c>
      <c r="J12" s="3">
        <v>0.443</v>
      </c>
      <c r="K12" s="4">
        <v>752</v>
      </c>
      <c r="L12" s="4">
        <v>26</v>
      </c>
      <c r="M12" s="4">
        <v>157931</v>
      </c>
      <c r="N12" s="4">
        <v>151209</v>
      </c>
      <c r="O12" s="3">
        <v>4.3999999999999997E-2</v>
      </c>
      <c r="P12" s="4">
        <v>15401</v>
      </c>
      <c r="Q12" s="3">
        <v>0.497</v>
      </c>
      <c r="R12" s="4">
        <v>175.01</v>
      </c>
      <c r="S12" s="3">
        <v>4.5999999999999999E-2</v>
      </c>
      <c r="T12" s="4">
        <v>153956</v>
      </c>
      <c r="U12" s="3">
        <v>2.8000000000000001E-2</v>
      </c>
      <c r="V12" s="3">
        <v>8.0000000000000002E-3</v>
      </c>
      <c r="W12" s="3">
        <v>0.55100000000000005</v>
      </c>
      <c r="X12" s="3">
        <v>0.59599999999999997</v>
      </c>
      <c r="Y12" s="3">
        <v>0.66700000000000004</v>
      </c>
      <c r="Z12" s="3">
        <v>-7.0000000000000007E-2</v>
      </c>
      <c r="AA12" s="3">
        <v>0.60399999999999998</v>
      </c>
      <c r="AB12" s="3">
        <v>0.66700000000000004</v>
      </c>
      <c r="AC12" s="3">
        <v>-6.3E-2</v>
      </c>
      <c r="AD12" s="3">
        <v>0.63100000000000001</v>
      </c>
      <c r="AE12" s="3">
        <v>1.579</v>
      </c>
      <c r="AF12" s="3">
        <v>-0.94799999999999995</v>
      </c>
      <c r="AG12" s="3">
        <v>0.81799999999999995</v>
      </c>
      <c r="AH12" s="3">
        <v>0.66700000000000004</v>
      </c>
      <c r="AI12" s="3">
        <v>0.151</v>
      </c>
      <c r="AJ12" s="3">
        <v>0.97870000000000001</v>
      </c>
      <c r="AK12" s="4">
        <v>3285</v>
      </c>
    </row>
    <row r="13" spans="1:37" x14ac:dyDescent="0.25">
      <c r="A13" s="12" t="s">
        <v>37</v>
      </c>
      <c r="B13" s="12" t="s">
        <v>45</v>
      </c>
      <c r="C13" s="5" t="s">
        <v>42</v>
      </c>
      <c r="D13" s="5"/>
      <c r="E13" s="6">
        <v>0.94299999999999995</v>
      </c>
      <c r="F13" s="6">
        <v>8.5000000000000006E-2</v>
      </c>
      <c r="G13" s="6">
        <v>0.10199999999999999</v>
      </c>
      <c r="H13" s="6">
        <v>6.9000000000000006E-2</v>
      </c>
      <c r="I13" s="7">
        <v>88</v>
      </c>
      <c r="J13" s="6">
        <v>0.443</v>
      </c>
      <c r="K13" s="7">
        <v>752</v>
      </c>
      <c r="L13" s="7">
        <v>26</v>
      </c>
      <c r="M13" s="7">
        <v>157931</v>
      </c>
      <c r="N13" s="7">
        <v>151209</v>
      </c>
      <c r="O13" s="6">
        <v>4.3999999999999997E-2</v>
      </c>
      <c r="P13" s="7">
        <v>15401</v>
      </c>
      <c r="Q13" s="6">
        <v>0.497</v>
      </c>
      <c r="R13" s="7">
        <v>175.01</v>
      </c>
      <c r="S13" s="6">
        <v>4.5999999999999999E-2</v>
      </c>
      <c r="T13" s="7">
        <v>153956</v>
      </c>
      <c r="U13" s="6">
        <v>2.8000000000000001E-2</v>
      </c>
      <c r="V13" s="6">
        <v>8.0000000000000002E-3</v>
      </c>
      <c r="W13" s="6">
        <v>0.55100000000000005</v>
      </c>
      <c r="X13" s="6">
        <v>0.59599999999999997</v>
      </c>
      <c r="Y13" s="6">
        <v>0.66700000000000004</v>
      </c>
      <c r="Z13" s="6">
        <v>-7.0000000000000007E-2</v>
      </c>
      <c r="AA13" s="6">
        <v>0.60399999999999998</v>
      </c>
      <c r="AB13" s="6">
        <v>0.66700000000000004</v>
      </c>
      <c r="AC13" s="6">
        <v>-6.3E-2</v>
      </c>
      <c r="AD13" s="6">
        <v>0.63100000000000001</v>
      </c>
      <c r="AE13" s="6">
        <v>1.579</v>
      </c>
      <c r="AF13" s="6">
        <v>-0.94799999999999995</v>
      </c>
      <c r="AG13" s="6">
        <v>0.81799999999999995</v>
      </c>
      <c r="AH13" s="6">
        <v>0.66700000000000004</v>
      </c>
      <c r="AI13" s="6">
        <v>0.151</v>
      </c>
      <c r="AJ13" s="6">
        <v>0.97870000000000001</v>
      </c>
      <c r="AK13" s="7">
        <v>3285</v>
      </c>
    </row>
    <row r="14" spans="1:37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0.97499999999999998</v>
      </c>
      <c r="F14" s="3">
        <v>4.2999999999999997E-2</v>
      </c>
      <c r="G14" s="3">
        <v>0.11</v>
      </c>
      <c r="H14" s="3">
        <v>0</v>
      </c>
      <c r="I14" s="4">
        <v>2</v>
      </c>
      <c r="J14" s="3">
        <v>1</v>
      </c>
      <c r="K14" s="4">
        <v>24</v>
      </c>
      <c r="L14" s="4">
        <v>1</v>
      </c>
      <c r="M14" s="4">
        <v>17353</v>
      </c>
      <c r="N14" s="4">
        <v>15996</v>
      </c>
      <c r="O14" s="3">
        <v>8.5000000000000006E-2</v>
      </c>
      <c r="P14" s="4">
        <v>1756</v>
      </c>
      <c r="Q14" s="3">
        <v>4.4059999999999997</v>
      </c>
      <c r="R14" s="4">
        <v>877.97</v>
      </c>
      <c r="S14" s="3">
        <v>1.7030000000000001</v>
      </c>
      <c r="T14" s="4">
        <v>16858</v>
      </c>
      <c r="U14" s="3">
        <v>9.8000000000000004E-2</v>
      </c>
      <c r="V14" s="3">
        <v>0</v>
      </c>
      <c r="W14" s="3">
        <v>0.57299999999999995</v>
      </c>
      <c r="X14" s="3">
        <v>0.64400000000000002</v>
      </c>
      <c r="Y14" s="3">
        <v>0.17499999999999999</v>
      </c>
      <c r="Z14" s="3">
        <v>0.47</v>
      </c>
      <c r="AA14" s="3">
        <v>0.65300000000000002</v>
      </c>
      <c r="AB14" s="3">
        <v>0.17</v>
      </c>
      <c r="AC14" s="3">
        <v>0.48199999999999998</v>
      </c>
      <c r="AD14" s="3">
        <v>0.60099999999999998</v>
      </c>
      <c r="AE14" s="3">
        <v>0</v>
      </c>
      <c r="AF14" s="3">
        <v>0.60099999999999998</v>
      </c>
      <c r="AG14" s="3">
        <v>0.84399999999999997</v>
      </c>
      <c r="AH14" s="3">
        <v>0.17499999999999999</v>
      </c>
      <c r="AI14" s="3">
        <v>0.67</v>
      </c>
      <c r="AJ14" s="3">
        <v>1.0370999999999999</v>
      </c>
      <c r="AK14" s="4">
        <v>-625</v>
      </c>
    </row>
    <row r="15" spans="1:37" x14ac:dyDescent="0.25">
      <c r="A15" s="12" t="s">
        <v>37</v>
      </c>
      <c r="B15" s="12" t="s">
        <v>46</v>
      </c>
      <c r="C15" s="5" t="s">
        <v>42</v>
      </c>
      <c r="D15" s="5"/>
      <c r="E15" s="6">
        <v>0.97499999999999998</v>
      </c>
      <c r="F15" s="6">
        <v>4.2999999999999997E-2</v>
      </c>
      <c r="G15" s="6">
        <v>0.11</v>
      </c>
      <c r="H15" s="6">
        <v>0</v>
      </c>
      <c r="I15" s="7">
        <v>2</v>
      </c>
      <c r="J15" s="6">
        <v>1</v>
      </c>
      <c r="K15" s="7">
        <v>24</v>
      </c>
      <c r="L15" s="7">
        <v>1</v>
      </c>
      <c r="M15" s="7">
        <v>17353</v>
      </c>
      <c r="N15" s="7">
        <v>15996</v>
      </c>
      <c r="O15" s="6">
        <v>8.5000000000000006E-2</v>
      </c>
      <c r="P15" s="7">
        <v>1756</v>
      </c>
      <c r="Q15" s="6">
        <v>4.4059999999999997</v>
      </c>
      <c r="R15" s="7">
        <v>877.97</v>
      </c>
      <c r="S15" s="6">
        <v>1.7030000000000001</v>
      </c>
      <c r="T15" s="7">
        <v>16858</v>
      </c>
      <c r="U15" s="6">
        <v>9.8000000000000004E-2</v>
      </c>
      <c r="V15" s="6">
        <v>0</v>
      </c>
      <c r="W15" s="6">
        <v>0.57299999999999995</v>
      </c>
      <c r="X15" s="6">
        <v>0.64400000000000002</v>
      </c>
      <c r="Y15" s="6">
        <v>0.17499999999999999</v>
      </c>
      <c r="Z15" s="6">
        <v>0.47</v>
      </c>
      <c r="AA15" s="6">
        <v>0.65300000000000002</v>
      </c>
      <c r="AB15" s="6">
        <v>0.17</v>
      </c>
      <c r="AC15" s="6">
        <v>0.48199999999999998</v>
      </c>
      <c r="AD15" s="6">
        <v>0.60099999999999998</v>
      </c>
      <c r="AE15" s="6">
        <v>0</v>
      </c>
      <c r="AF15" s="6">
        <v>0.60099999999999998</v>
      </c>
      <c r="AG15" s="6">
        <v>0.84399999999999997</v>
      </c>
      <c r="AH15" s="6">
        <v>0.17499999999999999</v>
      </c>
      <c r="AI15" s="6">
        <v>0.67</v>
      </c>
      <c r="AJ15" s="6">
        <v>1.0370999999999999</v>
      </c>
      <c r="AK15" s="7">
        <v>-625</v>
      </c>
    </row>
    <row r="16" spans="1:37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10</v>
      </c>
      <c r="G16" s="3">
        <v>0.77800000000000002</v>
      </c>
      <c r="H16" s="3">
        <v>0.35199999999999998</v>
      </c>
      <c r="I16" s="4">
        <v>10</v>
      </c>
      <c r="J16" s="3">
        <v>-9.0999999999999998E-2</v>
      </c>
      <c r="K16" s="4">
        <v>1</v>
      </c>
      <c r="L16" s="4">
        <v>0</v>
      </c>
      <c r="M16" s="4">
        <v>1569</v>
      </c>
      <c r="N16" s="4">
        <v>2017</v>
      </c>
      <c r="O16" s="3">
        <v>-0.222</v>
      </c>
      <c r="P16" s="4">
        <v>1569</v>
      </c>
      <c r="Q16" s="3">
        <v>-0.222</v>
      </c>
      <c r="R16" s="4">
        <v>1591.26</v>
      </c>
      <c r="S16" s="3">
        <v>0.27</v>
      </c>
      <c r="T16" s="4">
        <v>1468</v>
      </c>
      <c r="U16" s="3">
        <v>-0.29199999999999998</v>
      </c>
      <c r="V16" s="3">
        <v>0</v>
      </c>
      <c r="W16" s="3">
        <v>0.39700000000000002</v>
      </c>
      <c r="X16" s="3">
        <v>0.435</v>
      </c>
      <c r="Y16" s="3">
        <v>0.1</v>
      </c>
      <c r="Z16" s="3">
        <v>0.33500000000000002</v>
      </c>
      <c r="AA16" s="3">
        <v>0.435</v>
      </c>
      <c r="AB16" s="3">
        <v>0.14000000000000001</v>
      </c>
      <c r="AC16" s="3">
        <v>0.29499999999999998</v>
      </c>
      <c r="AD16" s="3">
        <v>0.40200000000000002</v>
      </c>
      <c r="AE16" s="3">
        <v>0</v>
      </c>
      <c r="AF16" s="3">
        <v>0.40200000000000002</v>
      </c>
      <c r="AG16" s="3">
        <v>0.58499999999999996</v>
      </c>
      <c r="AH16" s="3">
        <v>0.1</v>
      </c>
      <c r="AI16" s="3">
        <v>0.48499999999999999</v>
      </c>
      <c r="AJ16" s="3">
        <v>0.8478</v>
      </c>
      <c r="AK16" s="4">
        <v>223</v>
      </c>
    </row>
    <row r="17" spans="1:37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1.0169999999999999</v>
      </c>
      <c r="F17" s="3">
        <v>0</v>
      </c>
      <c r="G17" s="3">
        <v>9.7000000000000003E-2</v>
      </c>
      <c r="H17" s="3">
        <v>9.7000000000000003E-2</v>
      </c>
      <c r="I17" s="4">
        <v>1</v>
      </c>
      <c r="J17" s="3">
        <v>-0.66700000000000004</v>
      </c>
      <c r="K17" s="4">
        <v>8</v>
      </c>
      <c r="L17" s="4">
        <v>1</v>
      </c>
      <c r="M17" s="4">
        <v>1131</v>
      </c>
      <c r="N17" s="4">
        <v>1016</v>
      </c>
      <c r="O17" s="3">
        <v>0.114</v>
      </c>
      <c r="P17" s="4">
        <v>98</v>
      </c>
      <c r="Q17" s="3">
        <v>-0.73199999999999998</v>
      </c>
      <c r="R17" s="4">
        <v>98.23</v>
      </c>
      <c r="S17" s="3">
        <v>-0.19600000000000001</v>
      </c>
      <c r="T17" s="4">
        <v>1087</v>
      </c>
      <c r="U17" s="3">
        <v>3.3000000000000002E-2</v>
      </c>
      <c r="V17" s="3">
        <v>0</v>
      </c>
      <c r="W17" s="3">
        <v>0</v>
      </c>
      <c r="X17" s="3">
        <v>2.3E-2</v>
      </c>
      <c r="Y17" s="3">
        <v>0</v>
      </c>
      <c r="Z17" s="3">
        <v>2.3E-2</v>
      </c>
      <c r="AA17" s="3">
        <v>2.3E-2</v>
      </c>
      <c r="AB17" s="3">
        <v>0</v>
      </c>
      <c r="AC17" s="3">
        <v>2.3E-2</v>
      </c>
      <c r="AD17" s="3">
        <v>0</v>
      </c>
      <c r="AE17" s="3">
        <v>0</v>
      </c>
      <c r="AF17" s="3">
        <v>0</v>
      </c>
      <c r="AG17" s="3">
        <v>0.17299999999999999</v>
      </c>
      <c r="AH17" s="3">
        <v>0</v>
      </c>
      <c r="AI17" s="3">
        <v>0.17299999999999999</v>
      </c>
      <c r="AJ17" s="3">
        <v>0.34100000000000003</v>
      </c>
      <c r="AK17" s="4">
        <v>716</v>
      </c>
    </row>
    <row r="18" spans="1:37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0.95799999999999996</v>
      </c>
      <c r="F18" s="3">
        <v>0.16700000000000001</v>
      </c>
      <c r="G18" s="3">
        <v>0</v>
      </c>
      <c r="H18" s="3">
        <v>0</v>
      </c>
      <c r="I18" s="4">
        <v>0</v>
      </c>
      <c r="J18" s="8"/>
      <c r="K18" s="4">
        <v>5</v>
      </c>
      <c r="L18" s="4">
        <v>-1</v>
      </c>
      <c r="M18" s="4">
        <v>367</v>
      </c>
      <c r="N18" s="4">
        <v>383</v>
      </c>
      <c r="O18" s="3">
        <v>-4.2000000000000003E-2</v>
      </c>
      <c r="P18" s="4">
        <v>0</v>
      </c>
      <c r="Q18" s="8"/>
      <c r="R18" s="8"/>
      <c r="S18" s="8"/>
      <c r="T18" s="4">
        <v>378</v>
      </c>
      <c r="U18" s="3">
        <v>1.0999999999999999E-2</v>
      </c>
      <c r="V18" s="3">
        <v>0</v>
      </c>
      <c r="W18" s="3">
        <v>0</v>
      </c>
      <c r="X18" s="3">
        <v>-4.0000000000000001E-3</v>
      </c>
      <c r="Y18" s="3">
        <v>1.9E-2</v>
      </c>
      <c r="Z18" s="3">
        <v>-2.3E-2</v>
      </c>
      <c r="AA18" s="3">
        <v>-4.0000000000000001E-3</v>
      </c>
      <c r="AB18" s="3">
        <v>0</v>
      </c>
      <c r="AC18" s="3">
        <v>-4.0000000000000001E-3</v>
      </c>
      <c r="AD18" s="8"/>
      <c r="AE18" s="8"/>
      <c r="AF18" s="8"/>
      <c r="AG18" s="3">
        <v>0.20300000000000001</v>
      </c>
      <c r="AH18" s="3">
        <v>1.9E-2</v>
      </c>
      <c r="AI18" s="3">
        <v>0.183</v>
      </c>
      <c r="AJ18" s="3">
        <v>0.39079999999999998</v>
      </c>
      <c r="AK18" s="4">
        <v>230</v>
      </c>
    </row>
    <row r="19" spans="1:37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1.038</v>
      </c>
      <c r="F19" s="3">
        <v>0.10299999999999999</v>
      </c>
      <c r="G19" s="3">
        <v>5.0999999999999997E-2</v>
      </c>
      <c r="H19" s="3">
        <v>4.2000000000000003E-2</v>
      </c>
      <c r="I19" s="4">
        <v>5</v>
      </c>
      <c r="J19" s="3">
        <v>1.5</v>
      </c>
      <c r="K19" s="4">
        <v>110</v>
      </c>
      <c r="L19" s="4">
        <v>-7</v>
      </c>
      <c r="M19" s="4">
        <v>2057</v>
      </c>
      <c r="N19" s="4">
        <v>1889</v>
      </c>
      <c r="O19" s="3">
        <v>8.8999999999999996E-2</v>
      </c>
      <c r="P19" s="4">
        <v>97</v>
      </c>
      <c r="Q19" s="3">
        <v>2.1230000000000002</v>
      </c>
      <c r="R19" s="4">
        <v>19.420000000000002</v>
      </c>
      <c r="S19" s="3">
        <v>0.249</v>
      </c>
      <c r="T19" s="4">
        <v>2111</v>
      </c>
      <c r="U19" s="3">
        <v>-0.11</v>
      </c>
      <c r="V19" s="3">
        <v>0</v>
      </c>
      <c r="W19" s="3">
        <v>0</v>
      </c>
      <c r="X19" s="3">
        <v>3.1E-2</v>
      </c>
      <c r="Y19" s="3">
        <v>8.9999999999999993E-3</v>
      </c>
      <c r="Z19" s="3">
        <v>2.1999999999999999E-2</v>
      </c>
      <c r="AA19" s="3">
        <v>3.1E-2</v>
      </c>
      <c r="AB19" s="3">
        <v>8.9999999999999993E-3</v>
      </c>
      <c r="AC19" s="3">
        <v>2.1999999999999999E-2</v>
      </c>
      <c r="AD19" s="3">
        <v>0</v>
      </c>
      <c r="AE19" s="3">
        <v>0</v>
      </c>
      <c r="AF19" s="3">
        <v>0</v>
      </c>
      <c r="AG19" s="3">
        <v>0.27400000000000002</v>
      </c>
      <c r="AH19" s="3">
        <v>8.9999999999999993E-3</v>
      </c>
      <c r="AI19" s="3">
        <v>0.26500000000000001</v>
      </c>
      <c r="AJ19" s="3">
        <v>0.42770000000000002</v>
      </c>
      <c r="AK19" s="4">
        <v>1208</v>
      </c>
    </row>
    <row r="20" spans="1:37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0.96</v>
      </c>
      <c r="F20" s="3">
        <v>0.14799999999999999</v>
      </c>
      <c r="G20" s="3">
        <v>0.371</v>
      </c>
      <c r="H20" s="3">
        <v>0.153</v>
      </c>
      <c r="I20" s="4">
        <v>13</v>
      </c>
      <c r="J20" s="3">
        <v>1.6</v>
      </c>
      <c r="K20" s="4">
        <v>36</v>
      </c>
      <c r="L20" s="4">
        <v>9</v>
      </c>
      <c r="M20" s="4">
        <v>7400</v>
      </c>
      <c r="N20" s="4">
        <v>5560</v>
      </c>
      <c r="O20" s="3">
        <v>0.33100000000000002</v>
      </c>
      <c r="P20" s="4">
        <v>2061</v>
      </c>
      <c r="Q20" s="3">
        <v>5.133</v>
      </c>
      <c r="R20" s="4">
        <v>183.61</v>
      </c>
      <c r="S20" s="3">
        <v>1.732</v>
      </c>
      <c r="T20" s="4">
        <v>6067</v>
      </c>
      <c r="U20" s="3">
        <v>4.2999999999999997E-2</v>
      </c>
      <c r="V20" s="3">
        <v>7.0000000000000001E-3</v>
      </c>
      <c r="W20" s="3">
        <v>0</v>
      </c>
      <c r="X20" s="3">
        <v>6.9000000000000006E-2</v>
      </c>
      <c r="Y20" s="3">
        <v>2.8000000000000001E-2</v>
      </c>
      <c r="Z20" s="3">
        <v>4.1000000000000002E-2</v>
      </c>
      <c r="AA20" s="3">
        <v>6.9000000000000006E-2</v>
      </c>
      <c r="AB20" s="3">
        <v>2.8000000000000001E-2</v>
      </c>
      <c r="AC20" s="3">
        <v>4.1000000000000002E-2</v>
      </c>
      <c r="AD20" s="3">
        <v>0</v>
      </c>
      <c r="AE20" s="3">
        <v>0</v>
      </c>
      <c r="AF20" s="3">
        <v>0</v>
      </c>
      <c r="AG20" s="3">
        <v>0.26600000000000001</v>
      </c>
      <c r="AH20" s="3">
        <v>2.8000000000000001E-2</v>
      </c>
      <c r="AI20" s="3">
        <v>0.23799999999999999</v>
      </c>
      <c r="AJ20" s="3">
        <v>0.42020000000000002</v>
      </c>
      <c r="AK20" s="4">
        <v>3518</v>
      </c>
    </row>
    <row r="21" spans="1:37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0.94299999999999995</v>
      </c>
      <c r="F21" s="3">
        <v>9.0999999999999998E-2</v>
      </c>
      <c r="G21" s="3">
        <v>0</v>
      </c>
      <c r="H21" s="3">
        <v>0</v>
      </c>
      <c r="I21" s="4">
        <v>0</v>
      </c>
      <c r="J21" s="8"/>
      <c r="K21" s="4">
        <v>30</v>
      </c>
      <c r="L21" s="4">
        <v>-3</v>
      </c>
      <c r="M21" s="4">
        <v>3393</v>
      </c>
      <c r="N21" s="4">
        <v>3596</v>
      </c>
      <c r="O21" s="3">
        <v>-5.7000000000000002E-2</v>
      </c>
      <c r="P21" s="4">
        <v>0</v>
      </c>
      <c r="Q21" s="8"/>
      <c r="R21" s="8"/>
      <c r="S21" s="8"/>
      <c r="T21" s="4">
        <v>3501</v>
      </c>
      <c r="U21" s="3">
        <v>-8.2000000000000003E-2</v>
      </c>
      <c r="V21" s="3">
        <v>0</v>
      </c>
      <c r="W21" s="3">
        <v>0</v>
      </c>
      <c r="X21" s="3">
        <v>3.3000000000000002E-2</v>
      </c>
      <c r="Y21" s="3">
        <v>4.7E-2</v>
      </c>
      <c r="Z21" s="3">
        <v>-1.2999999999999999E-2</v>
      </c>
      <c r="AA21" s="3">
        <v>3.3000000000000002E-2</v>
      </c>
      <c r="AB21" s="3">
        <v>4.7E-2</v>
      </c>
      <c r="AC21" s="3">
        <v>-1.2999999999999999E-2</v>
      </c>
      <c r="AD21" s="8"/>
      <c r="AE21" s="8"/>
      <c r="AF21" s="8"/>
      <c r="AG21" s="3">
        <v>0.28299999999999997</v>
      </c>
      <c r="AH21" s="3">
        <v>4.7E-2</v>
      </c>
      <c r="AI21" s="3">
        <v>0.23699999999999999</v>
      </c>
      <c r="AJ21" s="3">
        <v>0.4365</v>
      </c>
      <c r="AK21" s="4">
        <v>1973</v>
      </c>
    </row>
    <row r="22" spans="1:37" x14ac:dyDescent="0.25">
      <c r="A22" s="12" t="s">
        <v>37</v>
      </c>
      <c r="B22" s="12" t="s">
        <v>48</v>
      </c>
      <c r="C22" s="5" t="s">
        <v>42</v>
      </c>
      <c r="D22" s="5"/>
      <c r="E22" s="6">
        <v>0.83599999999999997</v>
      </c>
      <c r="F22" s="6">
        <v>0.157</v>
      </c>
      <c r="G22" s="6">
        <v>0.26500000000000001</v>
      </c>
      <c r="H22" s="6">
        <v>0.12</v>
      </c>
      <c r="I22" s="7">
        <v>29</v>
      </c>
      <c r="J22" s="6">
        <v>0.38100000000000001</v>
      </c>
      <c r="K22" s="7">
        <v>190</v>
      </c>
      <c r="L22" s="7">
        <v>-1</v>
      </c>
      <c r="M22" s="7">
        <v>15918</v>
      </c>
      <c r="N22" s="7">
        <v>14462</v>
      </c>
      <c r="O22" s="6">
        <v>0.10100000000000001</v>
      </c>
      <c r="P22" s="7">
        <v>3826</v>
      </c>
      <c r="Q22" s="6">
        <v>0.39100000000000001</v>
      </c>
      <c r="R22" s="7">
        <v>210.08</v>
      </c>
      <c r="S22" s="6">
        <v>-0.113</v>
      </c>
      <c r="T22" s="7">
        <v>14612</v>
      </c>
      <c r="U22" s="6">
        <v>-5.8000000000000003E-2</v>
      </c>
      <c r="V22" s="6">
        <v>3.0000000000000001E-3</v>
      </c>
      <c r="W22" s="6">
        <v>0.04</v>
      </c>
      <c r="X22" s="6">
        <v>8.6999999999999994E-2</v>
      </c>
      <c r="Y22" s="6">
        <v>3.6999999999999998E-2</v>
      </c>
      <c r="Z22" s="6">
        <v>4.9000000000000002E-2</v>
      </c>
      <c r="AA22" s="6">
        <v>8.6999999999999994E-2</v>
      </c>
      <c r="AB22" s="6">
        <v>4.2000000000000003E-2</v>
      </c>
      <c r="AC22" s="6">
        <v>4.3999999999999997E-2</v>
      </c>
      <c r="AD22" s="6">
        <v>0.27400000000000002</v>
      </c>
      <c r="AE22" s="6">
        <v>0</v>
      </c>
      <c r="AF22" s="6">
        <v>0.27400000000000002</v>
      </c>
      <c r="AG22" s="6">
        <v>0.29499999999999998</v>
      </c>
      <c r="AH22" s="6">
        <v>3.6999999999999998E-2</v>
      </c>
      <c r="AI22" s="6">
        <v>0.25700000000000001</v>
      </c>
      <c r="AJ22" s="6">
        <v>0.46150000000000002</v>
      </c>
      <c r="AK22" s="7">
        <v>7869</v>
      </c>
    </row>
    <row r="23" spans="1:37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0.86699999999999999</v>
      </c>
      <c r="F23" s="3">
        <v>0.26200000000000001</v>
      </c>
      <c r="G23" s="3">
        <v>0.17199999999999999</v>
      </c>
      <c r="H23" s="3">
        <v>9.5000000000000001E-2</v>
      </c>
      <c r="I23" s="4">
        <v>8</v>
      </c>
      <c r="J23" s="3">
        <v>-0.5</v>
      </c>
      <c r="K23" s="4">
        <v>56</v>
      </c>
      <c r="L23" s="4">
        <v>-9</v>
      </c>
      <c r="M23" s="4">
        <v>28425</v>
      </c>
      <c r="N23" s="4">
        <v>27355</v>
      </c>
      <c r="O23" s="3">
        <v>3.9E-2</v>
      </c>
      <c r="P23" s="4">
        <v>4702</v>
      </c>
      <c r="Q23" s="3">
        <v>-0.315</v>
      </c>
      <c r="R23" s="4">
        <v>587.80999999999995</v>
      </c>
      <c r="S23" s="3">
        <v>0.371</v>
      </c>
      <c r="T23" s="4">
        <v>27676</v>
      </c>
      <c r="U23" s="3">
        <v>6.9000000000000006E-2</v>
      </c>
      <c r="V23" s="3">
        <v>0</v>
      </c>
      <c r="W23" s="3">
        <v>0.59699999999999998</v>
      </c>
      <c r="X23" s="3">
        <v>0.61199999999999999</v>
      </c>
      <c r="Y23" s="3">
        <v>0.18099999999999999</v>
      </c>
      <c r="Z23" s="3">
        <v>0.43099999999999999</v>
      </c>
      <c r="AA23" s="3">
        <v>0.61199999999999999</v>
      </c>
      <c r="AB23" s="3">
        <v>0.18099999999999999</v>
      </c>
      <c r="AC23" s="3">
        <v>0.43099999999999999</v>
      </c>
      <c r="AD23" s="3">
        <v>0.23400000000000001</v>
      </c>
      <c r="AE23" s="3">
        <v>9.4E-2</v>
      </c>
      <c r="AF23" s="3">
        <v>0.14000000000000001</v>
      </c>
      <c r="AG23" s="3">
        <v>0.73699999999999999</v>
      </c>
      <c r="AH23" s="3">
        <v>0.18099999999999999</v>
      </c>
      <c r="AI23" s="3">
        <v>0.55500000000000005</v>
      </c>
      <c r="AJ23" s="3">
        <v>0.89839999999999998</v>
      </c>
      <c r="AK23" s="4">
        <v>2813</v>
      </c>
    </row>
    <row r="24" spans="1:37" x14ac:dyDescent="0.25">
      <c r="A24" s="12" t="s">
        <v>37</v>
      </c>
      <c r="B24" s="12" t="s">
        <v>59</v>
      </c>
      <c r="C24" s="5" t="s">
        <v>42</v>
      </c>
      <c r="D24" s="5"/>
      <c r="E24" s="6">
        <v>0.86699999999999999</v>
      </c>
      <c r="F24" s="6">
        <v>0.26200000000000001</v>
      </c>
      <c r="G24" s="6">
        <v>0.17199999999999999</v>
      </c>
      <c r="H24" s="6">
        <v>9.5000000000000001E-2</v>
      </c>
      <c r="I24" s="7">
        <v>8</v>
      </c>
      <c r="J24" s="6">
        <v>-0.5</v>
      </c>
      <c r="K24" s="7">
        <v>56</v>
      </c>
      <c r="L24" s="7">
        <v>-9</v>
      </c>
      <c r="M24" s="7">
        <v>28425</v>
      </c>
      <c r="N24" s="7">
        <v>27355</v>
      </c>
      <c r="O24" s="6">
        <v>3.9E-2</v>
      </c>
      <c r="P24" s="7">
        <v>4702</v>
      </c>
      <c r="Q24" s="6">
        <v>-0.315</v>
      </c>
      <c r="R24" s="7">
        <v>587.80999999999995</v>
      </c>
      <c r="S24" s="6">
        <v>0.371</v>
      </c>
      <c r="T24" s="7">
        <v>27676</v>
      </c>
      <c r="U24" s="6">
        <v>6.9000000000000006E-2</v>
      </c>
      <c r="V24" s="6">
        <v>0</v>
      </c>
      <c r="W24" s="6">
        <v>0.59699999999999998</v>
      </c>
      <c r="X24" s="6">
        <v>0.61199999999999999</v>
      </c>
      <c r="Y24" s="6">
        <v>0.18099999999999999</v>
      </c>
      <c r="Z24" s="6">
        <v>0.43099999999999999</v>
      </c>
      <c r="AA24" s="6">
        <v>0.61199999999999999</v>
      </c>
      <c r="AB24" s="6">
        <v>0.18099999999999999</v>
      </c>
      <c r="AC24" s="6">
        <v>0.43099999999999999</v>
      </c>
      <c r="AD24" s="6">
        <v>0.23400000000000001</v>
      </c>
      <c r="AE24" s="6">
        <v>9.4E-2</v>
      </c>
      <c r="AF24" s="6">
        <v>0.14000000000000001</v>
      </c>
      <c r="AG24" s="6">
        <v>0.73699999999999999</v>
      </c>
      <c r="AH24" s="6">
        <v>0.18099999999999999</v>
      </c>
      <c r="AI24" s="6">
        <v>0.55500000000000005</v>
      </c>
      <c r="AJ24" s="6">
        <v>0.89839999999999998</v>
      </c>
      <c r="AK24" s="7">
        <v>2813</v>
      </c>
    </row>
    <row r="25" spans="1:37" x14ac:dyDescent="0.25">
      <c r="A25" s="12" t="s">
        <v>37</v>
      </c>
      <c r="B25" s="5" t="s">
        <v>42</v>
      </c>
      <c r="C25" s="5"/>
      <c r="D25" s="5"/>
      <c r="E25" s="6">
        <v>0.88</v>
      </c>
      <c r="F25" s="6">
        <v>0.13200000000000001</v>
      </c>
      <c r="G25" s="6">
        <v>0.12</v>
      </c>
      <c r="H25" s="6">
        <v>7.6999999999999999E-2</v>
      </c>
      <c r="I25" s="7">
        <v>491</v>
      </c>
      <c r="J25" s="6">
        <v>0.215</v>
      </c>
      <c r="K25" s="7">
        <v>3608</v>
      </c>
      <c r="L25" s="7">
        <v>16</v>
      </c>
      <c r="M25" s="7">
        <v>1126691</v>
      </c>
      <c r="N25" s="7">
        <v>1126757</v>
      </c>
      <c r="O25" s="6">
        <v>0</v>
      </c>
      <c r="P25" s="7">
        <v>135583</v>
      </c>
      <c r="Q25" s="6">
        <v>3.2000000000000001E-2</v>
      </c>
      <c r="R25" s="7">
        <v>290.64</v>
      </c>
      <c r="S25" s="6">
        <v>-0.13</v>
      </c>
      <c r="T25" s="7">
        <v>1120238</v>
      </c>
      <c r="U25" s="6">
        <v>-7.0000000000000001E-3</v>
      </c>
      <c r="V25" s="6">
        <v>7.0000000000000001E-3</v>
      </c>
      <c r="W25" s="6">
        <v>0.66200000000000003</v>
      </c>
      <c r="X25" s="6">
        <v>0.67100000000000004</v>
      </c>
      <c r="Y25" s="6">
        <v>0.504</v>
      </c>
      <c r="Z25" s="6">
        <v>0.16700000000000001</v>
      </c>
      <c r="AA25" s="6">
        <v>0.67200000000000004</v>
      </c>
      <c r="AB25" s="6">
        <v>0.504</v>
      </c>
      <c r="AC25" s="6">
        <v>0.16900000000000001</v>
      </c>
      <c r="AD25" s="6">
        <v>0.49199999999999999</v>
      </c>
      <c r="AE25" s="6">
        <v>0.68899999999999995</v>
      </c>
      <c r="AF25" s="6">
        <v>-0.19700000000000001</v>
      </c>
      <c r="AG25" s="6">
        <v>0.78200000000000003</v>
      </c>
      <c r="AH25" s="6">
        <v>0.504</v>
      </c>
      <c r="AI25" s="6">
        <v>0.27900000000000003</v>
      </c>
      <c r="AJ25" s="6">
        <v>0.94979999999999998</v>
      </c>
      <c r="AK25" s="7">
        <v>56251</v>
      </c>
    </row>
    <row r="26" spans="1:37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1.2010000000000001</v>
      </c>
      <c r="F26" s="3">
        <v>0.122</v>
      </c>
      <c r="G26" s="3">
        <v>0.14199999999999999</v>
      </c>
      <c r="H26" s="3">
        <v>0.122</v>
      </c>
      <c r="I26" s="4">
        <v>8</v>
      </c>
      <c r="J26" s="3">
        <v>-0.111</v>
      </c>
      <c r="K26" s="4">
        <v>87</v>
      </c>
      <c r="L26" s="4">
        <v>-3</v>
      </c>
      <c r="M26" s="4">
        <v>8149</v>
      </c>
      <c r="N26" s="4">
        <v>6064</v>
      </c>
      <c r="O26" s="3">
        <v>0.34399999999999997</v>
      </c>
      <c r="P26" s="4">
        <v>864</v>
      </c>
      <c r="Q26" s="3">
        <v>1.6819999999999999</v>
      </c>
      <c r="R26" s="4">
        <v>120.28</v>
      </c>
      <c r="S26" s="3">
        <v>2.36</v>
      </c>
      <c r="T26" s="4">
        <v>9458</v>
      </c>
      <c r="U26" s="3">
        <v>-7.0999999999999994E-2</v>
      </c>
      <c r="V26" s="3">
        <v>2.1000000000000001E-2</v>
      </c>
      <c r="W26" s="3">
        <v>0</v>
      </c>
      <c r="X26" s="3">
        <v>0.157</v>
      </c>
      <c r="Y26" s="3">
        <v>0.24</v>
      </c>
      <c r="Z26" s="3">
        <v>-8.2000000000000003E-2</v>
      </c>
      <c r="AA26" s="3">
        <v>0.14699999999999999</v>
      </c>
      <c r="AB26" s="3">
        <v>0.20399999999999999</v>
      </c>
      <c r="AC26" s="3">
        <v>-5.7000000000000002E-2</v>
      </c>
      <c r="AD26" s="3">
        <v>0</v>
      </c>
      <c r="AE26" s="3">
        <v>0</v>
      </c>
      <c r="AF26" s="3">
        <v>0</v>
      </c>
      <c r="AG26" s="3">
        <v>0.34399999999999997</v>
      </c>
      <c r="AH26" s="3">
        <v>0.24</v>
      </c>
      <c r="AI26" s="3">
        <v>0.104</v>
      </c>
      <c r="AJ26" s="3">
        <v>0.51390000000000002</v>
      </c>
      <c r="AK26" s="4">
        <v>4597</v>
      </c>
    </row>
    <row r="27" spans="1:37" x14ac:dyDescent="0.25">
      <c r="A27" s="12" t="s">
        <v>61</v>
      </c>
      <c r="B27" s="12" t="s">
        <v>39</v>
      </c>
      <c r="C27" s="5" t="s">
        <v>42</v>
      </c>
      <c r="D27" s="5"/>
      <c r="E27" s="6">
        <v>1.2010000000000001</v>
      </c>
      <c r="F27" s="6">
        <v>0.122</v>
      </c>
      <c r="G27" s="6">
        <v>0.14199999999999999</v>
      </c>
      <c r="H27" s="6">
        <v>0.122</v>
      </c>
      <c r="I27" s="7">
        <v>8</v>
      </c>
      <c r="J27" s="6">
        <v>-0.111</v>
      </c>
      <c r="K27" s="7">
        <v>87</v>
      </c>
      <c r="L27" s="7">
        <v>-3</v>
      </c>
      <c r="M27" s="7">
        <v>8149</v>
      </c>
      <c r="N27" s="7">
        <v>6064</v>
      </c>
      <c r="O27" s="6">
        <v>0.34399999999999997</v>
      </c>
      <c r="P27" s="7">
        <v>864</v>
      </c>
      <c r="Q27" s="6">
        <v>1.6819999999999999</v>
      </c>
      <c r="R27" s="7">
        <v>120.28</v>
      </c>
      <c r="S27" s="6">
        <v>2.36</v>
      </c>
      <c r="T27" s="7">
        <v>9458</v>
      </c>
      <c r="U27" s="6">
        <v>-7.0999999999999994E-2</v>
      </c>
      <c r="V27" s="6">
        <v>2.1000000000000001E-2</v>
      </c>
      <c r="W27" s="6">
        <v>0</v>
      </c>
      <c r="X27" s="6">
        <v>0.157</v>
      </c>
      <c r="Y27" s="6">
        <v>0.24</v>
      </c>
      <c r="Z27" s="6">
        <v>-8.2000000000000003E-2</v>
      </c>
      <c r="AA27" s="6">
        <v>0.14699999999999999</v>
      </c>
      <c r="AB27" s="6">
        <v>0.20399999999999999</v>
      </c>
      <c r="AC27" s="6">
        <v>-5.7000000000000002E-2</v>
      </c>
      <c r="AD27" s="6">
        <v>0</v>
      </c>
      <c r="AE27" s="6">
        <v>0</v>
      </c>
      <c r="AF27" s="6">
        <v>0</v>
      </c>
      <c r="AG27" s="6">
        <v>0.34399999999999997</v>
      </c>
      <c r="AH27" s="6">
        <v>0.24</v>
      </c>
      <c r="AI27" s="6">
        <v>0.104</v>
      </c>
      <c r="AJ27" s="6">
        <v>0.51390000000000002</v>
      </c>
      <c r="AK27" s="7">
        <v>4597</v>
      </c>
    </row>
    <row r="28" spans="1:37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0.48599999999999999</v>
      </c>
      <c r="F28" s="3">
        <v>0.34100000000000003</v>
      </c>
      <c r="G28" s="3">
        <v>0.61199999999999999</v>
      </c>
      <c r="H28" s="3">
        <v>0.60399999999999998</v>
      </c>
      <c r="I28" s="4">
        <v>35</v>
      </c>
      <c r="J28" s="3">
        <v>0.66700000000000004</v>
      </c>
      <c r="K28" s="4">
        <v>62</v>
      </c>
      <c r="L28" s="4">
        <v>21</v>
      </c>
      <c r="M28" s="4">
        <v>37479</v>
      </c>
      <c r="N28" s="4">
        <v>34119</v>
      </c>
      <c r="O28" s="3">
        <v>9.8000000000000004E-2</v>
      </c>
      <c r="P28" s="4">
        <v>20892</v>
      </c>
      <c r="Q28" s="3">
        <v>-3.1E-2</v>
      </c>
      <c r="R28" s="4">
        <v>554.17999999999995</v>
      </c>
      <c r="S28" s="3">
        <v>-0.46</v>
      </c>
      <c r="T28" s="4">
        <v>34747</v>
      </c>
      <c r="U28" s="3">
        <v>0.625</v>
      </c>
      <c r="V28" s="3">
        <v>0</v>
      </c>
      <c r="W28" s="3">
        <v>0.71</v>
      </c>
      <c r="X28" s="3">
        <v>0.75800000000000001</v>
      </c>
      <c r="Y28" s="3">
        <v>0.68700000000000006</v>
      </c>
      <c r="Z28" s="3">
        <v>7.0999999999999994E-2</v>
      </c>
      <c r="AA28" s="3">
        <v>0.72399999999999998</v>
      </c>
      <c r="AB28" s="3">
        <v>0.68700000000000006</v>
      </c>
      <c r="AC28" s="3">
        <v>3.6999999999999998E-2</v>
      </c>
      <c r="AD28" s="3">
        <v>0</v>
      </c>
      <c r="AE28" s="3">
        <v>0</v>
      </c>
      <c r="AF28" s="3">
        <v>0</v>
      </c>
      <c r="AG28" s="3">
        <v>0.82799999999999996</v>
      </c>
      <c r="AH28" s="3">
        <v>0.68700000000000006</v>
      </c>
      <c r="AI28" s="3">
        <v>0.14099999999999999</v>
      </c>
      <c r="AJ28" s="3">
        <v>0.96230000000000004</v>
      </c>
      <c r="AK28" s="4">
        <v>1309</v>
      </c>
    </row>
    <row r="29" spans="1:37" x14ac:dyDescent="0.25">
      <c r="A29" s="12" t="s">
        <v>61</v>
      </c>
      <c r="B29" s="12" t="s">
        <v>43</v>
      </c>
      <c r="C29" s="5" t="s">
        <v>42</v>
      </c>
      <c r="D29" s="5"/>
      <c r="E29" s="6">
        <v>0.48599999999999999</v>
      </c>
      <c r="F29" s="6">
        <v>0.34100000000000003</v>
      </c>
      <c r="G29" s="6">
        <v>0.61199999999999999</v>
      </c>
      <c r="H29" s="6">
        <v>0.60399999999999998</v>
      </c>
      <c r="I29" s="7">
        <v>35</v>
      </c>
      <c r="J29" s="6">
        <v>0.66700000000000004</v>
      </c>
      <c r="K29" s="7">
        <v>62</v>
      </c>
      <c r="L29" s="7">
        <v>21</v>
      </c>
      <c r="M29" s="7">
        <v>37479</v>
      </c>
      <c r="N29" s="7">
        <v>34119</v>
      </c>
      <c r="O29" s="6">
        <v>9.8000000000000004E-2</v>
      </c>
      <c r="P29" s="7">
        <v>20892</v>
      </c>
      <c r="Q29" s="6">
        <v>-3.1E-2</v>
      </c>
      <c r="R29" s="7">
        <v>554.17999999999995</v>
      </c>
      <c r="S29" s="6">
        <v>-0.46</v>
      </c>
      <c r="T29" s="7">
        <v>34747</v>
      </c>
      <c r="U29" s="6">
        <v>0.625</v>
      </c>
      <c r="V29" s="6">
        <v>0</v>
      </c>
      <c r="W29" s="6">
        <v>0.71</v>
      </c>
      <c r="X29" s="6">
        <v>0.75800000000000001</v>
      </c>
      <c r="Y29" s="6">
        <v>0.68700000000000006</v>
      </c>
      <c r="Z29" s="6">
        <v>7.0999999999999994E-2</v>
      </c>
      <c r="AA29" s="6">
        <v>0.72399999999999998</v>
      </c>
      <c r="AB29" s="6">
        <v>0.68700000000000006</v>
      </c>
      <c r="AC29" s="6">
        <v>3.6999999999999998E-2</v>
      </c>
      <c r="AD29" s="6">
        <v>0</v>
      </c>
      <c r="AE29" s="6">
        <v>0</v>
      </c>
      <c r="AF29" s="6">
        <v>0</v>
      </c>
      <c r="AG29" s="6">
        <v>0.82799999999999996</v>
      </c>
      <c r="AH29" s="6">
        <v>0.68700000000000006</v>
      </c>
      <c r="AI29" s="6">
        <v>0.14099999999999999</v>
      </c>
      <c r="AJ29" s="6">
        <v>0.96230000000000004</v>
      </c>
      <c r="AK29" s="7">
        <v>1309</v>
      </c>
    </row>
    <row r="30" spans="1:37" x14ac:dyDescent="0.25">
      <c r="A30" s="12" t="s">
        <v>61</v>
      </c>
      <c r="B30" s="12" t="s">
        <v>64</v>
      </c>
      <c r="C30" s="2" t="s">
        <v>65</v>
      </c>
      <c r="D30" s="2" t="s">
        <v>65</v>
      </c>
      <c r="E30" s="3">
        <v>0.70699999999999996</v>
      </c>
      <c r="F30" s="3">
        <v>0.17</v>
      </c>
      <c r="G30" s="3">
        <v>0.13100000000000001</v>
      </c>
      <c r="H30" s="3">
        <v>4.2999999999999997E-2</v>
      </c>
      <c r="I30" s="4">
        <v>10</v>
      </c>
      <c r="J30" s="3">
        <v>0.66700000000000004</v>
      </c>
      <c r="K30" s="4">
        <v>49</v>
      </c>
      <c r="L30" s="4">
        <v>2</v>
      </c>
      <c r="M30" s="4">
        <v>51233</v>
      </c>
      <c r="N30" s="4">
        <v>61152</v>
      </c>
      <c r="O30" s="3">
        <v>-0.16200000000000001</v>
      </c>
      <c r="P30" s="4">
        <v>7990</v>
      </c>
      <c r="Q30" s="3">
        <v>0.94099999999999995</v>
      </c>
      <c r="R30" s="4">
        <v>799.02</v>
      </c>
      <c r="S30" s="3">
        <v>0.26200000000000001</v>
      </c>
      <c r="T30" s="4">
        <v>54658</v>
      </c>
      <c r="U30" s="3">
        <v>-8.6999999999999994E-2</v>
      </c>
      <c r="V30" s="3">
        <v>8.9999999999999993E-3</v>
      </c>
      <c r="W30" s="3">
        <v>0.68</v>
      </c>
      <c r="X30" s="3">
        <v>0.69399999999999995</v>
      </c>
      <c r="Y30" s="3">
        <v>0.81899999999999995</v>
      </c>
      <c r="Z30" s="3">
        <v>-0.125</v>
      </c>
      <c r="AA30" s="3">
        <v>0.7</v>
      </c>
      <c r="AB30" s="3">
        <v>0.81899999999999995</v>
      </c>
      <c r="AC30" s="3">
        <v>-0.11899999999999999</v>
      </c>
      <c r="AD30" s="3">
        <v>1.43</v>
      </c>
      <c r="AE30" s="3">
        <v>3.5390000000000001</v>
      </c>
      <c r="AF30" s="3">
        <v>-2.109</v>
      </c>
      <c r="AG30" s="3">
        <v>0.89600000000000002</v>
      </c>
      <c r="AH30" s="3">
        <v>0.81899999999999995</v>
      </c>
      <c r="AI30" s="3">
        <v>7.6999999999999999E-2</v>
      </c>
      <c r="AJ30" s="3">
        <v>1.0267999999999999</v>
      </c>
      <c r="AK30" s="4">
        <v>-1464</v>
      </c>
    </row>
    <row r="31" spans="1:37" x14ac:dyDescent="0.25">
      <c r="A31" s="12" t="s">
        <v>61</v>
      </c>
      <c r="B31" s="12" t="s">
        <v>64</v>
      </c>
      <c r="C31" s="5" t="s">
        <v>42</v>
      </c>
      <c r="D31" s="5"/>
      <c r="E31" s="6">
        <v>0.70699999999999996</v>
      </c>
      <c r="F31" s="6">
        <v>0.17</v>
      </c>
      <c r="G31" s="6">
        <v>0.13100000000000001</v>
      </c>
      <c r="H31" s="6">
        <v>4.2999999999999997E-2</v>
      </c>
      <c r="I31" s="7">
        <v>10</v>
      </c>
      <c r="J31" s="6">
        <v>0.66700000000000004</v>
      </c>
      <c r="K31" s="7">
        <v>49</v>
      </c>
      <c r="L31" s="7">
        <v>2</v>
      </c>
      <c r="M31" s="7">
        <v>51233</v>
      </c>
      <c r="N31" s="7">
        <v>61152</v>
      </c>
      <c r="O31" s="6">
        <v>-0.16200000000000001</v>
      </c>
      <c r="P31" s="7">
        <v>7990</v>
      </c>
      <c r="Q31" s="6">
        <v>0.94099999999999995</v>
      </c>
      <c r="R31" s="7">
        <v>799.02</v>
      </c>
      <c r="S31" s="6">
        <v>0.26200000000000001</v>
      </c>
      <c r="T31" s="7">
        <v>54658</v>
      </c>
      <c r="U31" s="6">
        <v>-8.6999999999999994E-2</v>
      </c>
      <c r="V31" s="6">
        <v>8.9999999999999993E-3</v>
      </c>
      <c r="W31" s="6">
        <v>0.68</v>
      </c>
      <c r="X31" s="6">
        <v>0.69399999999999995</v>
      </c>
      <c r="Y31" s="6">
        <v>0.81899999999999995</v>
      </c>
      <c r="Z31" s="6">
        <v>-0.125</v>
      </c>
      <c r="AA31" s="6">
        <v>0.7</v>
      </c>
      <c r="AB31" s="6">
        <v>0.81899999999999995</v>
      </c>
      <c r="AC31" s="6">
        <v>-0.11899999999999999</v>
      </c>
      <c r="AD31" s="6">
        <v>1.43</v>
      </c>
      <c r="AE31" s="6">
        <v>3.5390000000000001</v>
      </c>
      <c r="AF31" s="6">
        <v>-2.109</v>
      </c>
      <c r="AG31" s="6">
        <v>0.89600000000000002</v>
      </c>
      <c r="AH31" s="6">
        <v>0.81899999999999995</v>
      </c>
      <c r="AI31" s="6">
        <v>7.6999999999999999E-2</v>
      </c>
      <c r="AJ31" s="6">
        <v>1.0267999999999999</v>
      </c>
      <c r="AK31" s="7">
        <v>-1464</v>
      </c>
    </row>
    <row r="32" spans="1:37" x14ac:dyDescent="0.25">
      <c r="A32" s="12" t="s">
        <v>61</v>
      </c>
      <c r="B32" s="12" t="s">
        <v>66</v>
      </c>
      <c r="C32" s="2" t="s">
        <v>55</v>
      </c>
      <c r="D32" s="2" t="s">
        <v>67</v>
      </c>
      <c r="E32" s="3">
        <v>0.94099999999999995</v>
      </c>
      <c r="F32" s="3">
        <v>0.14299999999999999</v>
      </c>
      <c r="G32" s="3">
        <v>4.4999999999999998E-2</v>
      </c>
      <c r="H32" s="3">
        <v>1.7000000000000001E-2</v>
      </c>
      <c r="I32" s="4">
        <v>6</v>
      </c>
      <c r="J32" s="3">
        <v>-0.4</v>
      </c>
      <c r="K32" s="4">
        <v>48</v>
      </c>
      <c r="L32" s="4">
        <v>-1</v>
      </c>
      <c r="M32" s="4">
        <v>57557</v>
      </c>
      <c r="N32" s="4">
        <v>58357</v>
      </c>
      <c r="O32" s="3">
        <v>-1.4E-2</v>
      </c>
      <c r="P32" s="4">
        <v>2629</v>
      </c>
      <c r="Q32" s="3">
        <v>-0.73499999999999999</v>
      </c>
      <c r="R32" s="4">
        <v>522.89</v>
      </c>
      <c r="S32" s="3">
        <v>-0.51500000000000001</v>
      </c>
      <c r="T32" s="4">
        <v>58022</v>
      </c>
      <c r="U32" s="3">
        <v>1.4999999999999999E-2</v>
      </c>
      <c r="V32" s="3">
        <v>4.5999999999999999E-2</v>
      </c>
      <c r="W32" s="3">
        <v>3.9E-2</v>
      </c>
      <c r="X32" s="3">
        <v>0.27600000000000002</v>
      </c>
      <c r="Y32" s="3">
        <v>0.253</v>
      </c>
      <c r="Z32" s="3">
        <v>2.3E-2</v>
      </c>
      <c r="AA32" s="3">
        <v>0.26300000000000001</v>
      </c>
      <c r="AB32" s="3">
        <v>0.253</v>
      </c>
      <c r="AC32" s="3">
        <v>0.01</v>
      </c>
      <c r="AD32" s="3">
        <v>0</v>
      </c>
      <c r="AE32" s="3">
        <v>0</v>
      </c>
      <c r="AF32" s="3">
        <v>0</v>
      </c>
      <c r="AG32" s="3">
        <v>0.47399999999999998</v>
      </c>
      <c r="AH32" s="3">
        <v>0.253</v>
      </c>
      <c r="AI32" s="3">
        <v>0.222</v>
      </c>
      <c r="AJ32" s="3">
        <v>0.58540000000000003</v>
      </c>
      <c r="AK32" s="4">
        <v>24054</v>
      </c>
    </row>
    <row r="33" spans="1:37" x14ac:dyDescent="0.25">
      <c r="A33" s="12" t="s">
        <v>61</v>
      </c>
      <c r="B33" s="12" t="s">
        <v>66</v>
      </c>
      <c r="C33" s="5" t="s">
        <v>42</v>
      </c>
      <c r="D33" s="5"/>
      <c r="E33" s="6">
        <v>0.94099999999999995</v>
      </c>
      <c r="F33" s="6">
        <v>0.14299999999999999</v>
      </c>
      <c r="G33" s="6">
        <v>4.4999999999999998E-2</v>
      </c>
      <c r="H33" s="6">
        <v>1.7000000000000001E-2</v>
      </c>
      <c r="I33" s="7">
        <v>6</v>
      </c>
      <c r="J33" s="6">
        <v>-0.4</v>
      </c>
      <c r="K33" s="7">
        <v>48</v>
      </c>
      <c r="L33" s="7">
        <v>-1</v>
      </c>
      <c r="M33" s="7">
        <v>57557</v>
      </c>
      <c r="N33" s="7">
        <v>58357</v>
      </c>
      <c r="O33" s="6">
        <v>-1.4E-2</v>
      </c>
      <c r="P33" s="7">
        <v>2629</v>
      </c>
      <c r="Q33" s="6">
        <v>-0.73499999999999999</v>
      </c>
      <c r="R33" s="7">
        <v>522.89</v>
      </c>
      <c r="S33" s="6">
        <v>-0.51500000000000001</v>
      </c>
      <c r="T33" s="7">
        <v>58022</v>
      </c>
      <c r="U33" s="6">
        <v>1.4999999999999999E-2</v>
      </c>
      <c r="V33" s="6">
        <v>4.5999999999999999E-2</v>
      </c>
      <c r="W33" s="6">
        <v>3.9E-2</v>
      </c>
      <c r="X33" s="6">
        <v>0.27600000000000002</v>
      </c>
      <c r="Y33" s="6">
        <v>0.253</v>
      </c>
      <c r="Z33" s="6">
        <v>2.3E-2</v>
      </c>
      <c r="AA33" s="6">
        <v>0.26300000000000001</v>
      </c>
      <c r="AB33" s="6">
        <v>0.253</v>
      </c>
      <c r="AC33" s="6">
        <v>0.01</v>
      </c>
      <c r="AD33" s="6">
        <v>0</v>
      </c>
      <c r="AE33" s="6">
        <v>0</v>
      </c>
      <c r="AF33" s="6">
        <v>0</v>
      </c>
      <c r="AG33" s="6">
        <v>0.47399999999999998</v>
      </c>
      <c r="AH33" s="6">
        <v>0.253</v>
      </c>
      <c r="AI33" s="6">
        <v>0.222</v>
      </c>
      <c r="AJ33" s="6">
        <v>0.58540000000000003</v>
      </c>
      <c r="AK33" s="7">
        <v>24054</v>
      </c>
    </row>
    <row r="34" spans="1:37" x14ac:dyDescent="0.25">
      <c r="A34" s="12" t="s">
        <v>61</v>
      </c>
      <c r="B34" s="12" t="s">
        <v>68</v>
      </c>
      <c r="C34" s="2" t="s">
        <v>69</v>
      </c>
      <c r="D34" s="2" t="s">
        <v>70</v>
      </c>
      <c r="E34" s="3">
        <v>0.97</v>
      </c>
      <c r="F34" s="3">
        <v>7.6999999999999999E-2</v>
      </c>
      <c r="G34" s="3">
        <v>9.9000000000000005E-2</v>
      </c>
      <c r="H34" s="3">
        <v>9.9000000000000005E-2</v>
      </c>
      <c r="I34" s="4">
        <v>2</v>
      </c>
      <c r="J34" s="3">
        <v>-0.5</v>
      </c>
      <c r="K34" s="4">
        <v>14</v>
      </c>
      <c r="L34" s="4">
        <v>1</v>
      </c>
      <c r="M34" s="4">
        <v>6753</v>
      </c>
      <c r="N34" s="4">
        <v>6318</v>
      </c>
      <c r="O34" s="3">
        <v>6.9000000000000006E-2</v>
      </c>
      <c r="P34" s="4">
        <v>625</v>
      </c>
      <c r="Q34" s="3">
        <v>-0.69099999999999995</v>
      </c>
      <c r="R34" s="4">
        <v>491.27</v>
      </c>
      <c r="S34" s="3">
        <v>-2.9000000000000001E-2</v>
      </c>
      <c r="T34" s="4">
        <v>6630</v>
      </c>
      <c r="U34" s="3">
        <v>0.16800000000000001</v>
      </c>
      <c r="V34" s="3">
        <v>0</v>
      </c>
      <c r="W34" s="3">
        <v>0</v>
      </c>
      <c r="X34" s="3">
        <v>3.7999999999999999E-2</v>
      </c>
      <c r="Y34" s="3">
        <v>1.377</v>
      </c>
      <c r="Z34" s="3">
        <v>-1.339</v>
      </c>
      <c r="AA34" s="3">
        <v>3.7999999999999999E-2</v>
      </c>
      <c r="AB34" s="3">
        <v>1.377</v>
      </c>
      <c r="AC34" s="3">
        <v>-1.339</v>
      </c>
      <c r="AD34" s="3">
        <v>0</v>
      </c>
      <c r="AE34" s="3">
        <v>1.089</v>
      </c>
      <c r="AF34" s="3">
        <v>-1.089</v>
      </c>
      <c r="AG34" s="3">
        <v>0.188</v>
      </c>
      <c r="AH34" s="3">
        <v>1.377</v>
      </c>
      <c r="AI34" s="3">
        <v>-1.1890000000000001</v>
      </c>
      <c r="AJ34" s="3">
        <v>0.42109999999999997</v>
      </c>
      <c r="AK34" s="4">
        <v>3838</v>
      </c>
    </row>
    <row r="35" spans="1:37" x14ac:dyDescent="0.25">
      <c r="A35" s="12" t="s">
        <v>61</v>
      </c>
      <c r="B35" s="12" t="s">
        <v>68</v>
      </c>
      <c r="C35" s="5" t="s">
        <v>42</v>
      </c>
      <c r="D35" s="5"/>
      <c r="E35" s="6">
        <v>0.97</v>
      </c>
      <c r="F35" s="6">
        <v>7.6999999999999999E-2</v>
      </c>
      <c r="G35" s="6">
        <v>9.9000000000000005E-2</v>
      </c>
      <c r="H35" s="6">
        <v>9.9000000000000005E-2</v>
      </c>
      <c r="I35" s="7">
        <v>2</v>
      </c>
      <c r="J35" s="6">
        <v>-0.5</v>
      </c>
      <c r="K35" s="7">
        <v>14</v>
      </c>
      <c r="L35" s="7">
        <v>1</v>
      </c>
      <c r="M35" s="7">
        <v>6753</v>
      </c>
      <c r="N35" s="7">
        <v>6318</v>
      </c>
      <c r="O35" s="6">
        <v>6.9000000000000006E-2</v>
      </c>
      <c r="P35" s="7">
        <v>625</v>
      </c>
      <c r="Q35" s="6">
        <v>-0.69099999999999995</v>
      </c>
      <c r="R35" s="7">
        <v>491.27</v>
      </c>
      <c r="S35" s="6">
        <v>-2.9000000000000001E-2</v>
      </c>
      <c r="T35" s="7">
        <v>6630</v>
      </c>
      <c r="U35" s="6">
        <v>0.16800000000000001</v>
      </c>
      <c r="V35" s="6">
        <v>0</v>
      </c>
      <c r="W35" s="6">
        <v>0</v>
      </c>
      <c r="X35" s="6">
        <v>3.7999999999999999E-2</v>
      </c>
      <c r="Y35" s="6">
        <v>1.377</v>
      </c>
      <c r="Z35" s="6">
        <v>-1.339</v>
      </c>
      <c r="AA35" s="6">
        <v>3.7999999999999999E-2</v>
      </c>
      <c r="AB35" s="6">
        <v>1.377</v>
      </c>
      <c r="AC35" s="6">
        <v>-1.339</v>
      </c>
      <c r="AD35" s="6">
        <v>0</v>
      </c>
      <c r="AE35" s="6">
        <v>1.089</v>
      </c>
      <c r="AF35" s="6">
        <v>-1.089</v>
      </c>
      <c r="AG35" s="6">
        <v>0.188</v>
      </c>
      <c r="AH35" s="6">
        <v>1.377</v>
      </c>
      <c r="AI35" s="6">
        <v>-1.1890000000000001</v>
      </c>
      <c r="AJ35" s="6">
        <v>0.42109999999999997</v>
      </c>
      <c r="AK35" s="7">
        <v>3838</v>
      </c>
    </row>
    <row r="36" spans="1:37" x14ac:dyDescent="0.25">
      <c r="A36" s="12" t="s">
        <v>61</v>
      </c>
      <c r="B36" s="12" t="s">
        <v>46</v>
      </c>
      <c r="C36" s="2" t="s">
        <v>71</v>
      </c>
      <c r="D36" s="2" t="s">
        <v>71</v>
      </c>
      <c r="E36" s="3">
        <v>0.90800000000000003</v>
      </c>
      <c r="F36" s="3">
        <v>0.123</v>
      </c>
      <c r="G36" s="3">
        <v>0.13</v>
      </c>
      <c r="H36" s="3">
        <v>9.7000000000000003E-2</v>
      </c>
      <c r="I36" s="4">
        <v>9</v>
      </c>
      <c r="J36" s="3">
        <v>-0.438</v>
      </c>
      <c r="K36" s="4">
        <v>66</v>
      </c>
      <c r="L36" s="4">
        <v>1</v>
      </c>
      <c r="M36" s="4">
        <v>33855</v>
      </c>
      <c r="N36" s="4">
        <v>32631</v>
      </c>
      <c r="O36" s="3">
        <v>3.6999999999999998E-2</v>
      </c>
      <c r="P36" s="4">
        <v>4231</v>
      </c>
      <c r="Q36" s="3">
        <v>-0.48699999999999999</v>
      </c>
      <c r="R36" s="4">
        <v>470.08</v>
      </c>
      <c r="S36" s="3">
        <v>-5.8999999999999997E-2</v>
      </c>
      <c r="T36" s="4">
        <v>33535</v>
      </c>
      <c r="U36" s="3">
        <v>5.0999999999999997E-2</v>
      </c>
      <c r="V36" s="3">
        <v>6.0000000000000001E-3</v>
      </c>
      <c r="W36" s="3">
        <v>1.004</v>
      </c>
      <c r="X36" s="3">
        <v>0.96499999999999997</v>
      </c>
      <c r="Y36" s="3">
        <v>0.747</v>
      </c>
      <c r="Z36" s="3">
        <v>0.219</v>
      </c>
      <c r="AA36" s="3">
        <v>0.97</v>
      </c>
      <c r="AB36" s="3">
        <v>0.747</v>
      </c>
      <c r="AC36" s="3">
        <v>0.224</v>
      </c>
      <c r="AD36" s="3">
        <v>0.66900000000000004</v>
      </c>
      <c r="AE36" s="3">
        <v>0.26</v>
      </c>
      <c r="AF36" s="3">
        <v>0.40899999999999997</v>
      </c>
      <c r="AG36" s="3">
        <v>1.1679999999999999</v>
      </c>
      <c r="AH36" s="3">
        <v>0.747</v>
      </c>
      <c r="AI36" s="3">
        <v>0.42099999999999999</v>
      </c>
      <c r="AJ36" s="3">
        <v>1.3070999999999999</v>
      </c>
      <c r="AK36" s="4">
        <v>-10297</v>
      </c>
    </row>
    <row r="37" spans="1:37" x14ac:dyDescent="0.25">
      <c r="A37" s="12" t="s">
        <v>61</v>
      </c>
      <c r="B37" s="12" t="s">
        <v>46</v>
      </c>
      <c r="C37" s="2" t="s">
        <v>72</v>
      </c>
      <c r="D37" s="2" t="s">
        <v>72</v>
      </c>
      <c r="E37" s="3">
        <v>1.012</v>
      </c>
      <c r="F37" s="3">
        <v>9.4E-2</v>
      </c>
      <c r="G37" s="3">
        <v>5.1999999999999998E-2</v>
      </c>
      <c r="H37" s="3">
        <v>2.4E-2</v>
      </c>
      <c r="I37" s="4">
        <v>2</v>
      </c>
      <c r="J37" s="3">
        <v>-0.66700000000000004</v>
      </c>
      <c r="K37" s="4">
        <v>31</v>
      </c>
      <c r="L37" s="4">
        <v>-1</v>
      </c>
      <c r="M37" s="4">
        <v>7236</v>
      </c>
      <c r="N37" s="4">
        <v>6806</v>
      </c>
      <c r="O37" s="3">
        <v>6.3E-2</v>
      </c>
      <c r="P37" s="4">
        <v>351</v>
      </c>
      <c r="Q37" s="3">
        <v>-0.56000000000000005</v>
      </c>
      <c r="R37" s="4">
        <v>175.66</v>
      </c>
      <c r="S37" s="3">
        <v>0.31900000000000001</v>
      </c>
      <c r="T37" s="4">
        <v>7171</v>
      </c>
      <c r="U37" s="3">
        <v>0</v>
      </c>
      <c r="V37" s="3">
        <v>0</v>
      </c>
      <c r="W37" s="3">
        <v>0.60299999999999998</v>
      </c>
      <c r="X37" s="3">
        <v>0.59399999999999997</v>
      </c>
      <c r="Y37" s="3">
        <v>0.81100000000000005</v>
      </c>
      <c r="Z37" s="3">
        <v>-0.217</v>
      </c>
      <c r="AA37" s="3">
        <v>0.59499999999999997</v>
      </c>
      <c r="AB37" s="3">
        <v>0.8</v>
      </c>
      <c r="AC37" s="3">
        <v>-0.20499999999999999</v>
      </c>
      <c r="AD37" s="3">
        <v>0</v>
      </c>
      <c r="AE37" s="3">
        <v>0.98</v>
      </c>
      <c r="AF37" s="3">
        <v>-0.98</v>
      </c>
      <c r="AG37" s="3">
        <v>0.84599999999999997</v>
      </c>
      <c r="AH37" s="3">
        <v>0.81100000000000005</v>
      </c>
      <c r="AI37" s="3">
        <v>3.5000000000000003E-2</v>
      </c>
      <c r="AJ37" s="3">
        <v>1.0717000000000001</v>
      </c>
      <c r="AK37" s="4">
        <v>-514</v>
      </c>
    </row>
    <row r="38" spans="1:37" x14ac:dyDescent="0.25">
      <c r="A38" s="12" t="s">
        <v>61</v>
      </c>
      <c r="B38" s="12" t="s">
        <v>46</v>
      </c>
      <c r="C38" s="5" t="s">
        <v>42</v>
      </c>
      <c r="D38" s="5"/>
      <c r="E38" s="6">
        <v>0.92600000000000005</v>
      </c>
      <c r="F38" s="6">
        <v>0.113</v>
      </c>
      <c r="G38" s="6">
        <v>0.11600000000000001</v>
      </c>
      <c r="H38" s="6">
        <v>8.4000000000000005E-2</v>
      </c>
      <c r="I38" s="7">
        <v>11</v>
      </c>
      <c r="J38" s="6">
        <v>-0.5</v>
      </c>
      <c r="K38" s="7">
        <v>97</v>
      </c>
      <c r="L38" s="7">
        <v>0</v>
      </c>
      <c r="M38" s="7">
        <v>41091</v>
      </c>
      <c r="N38" s="7">
        <v>39437</v>
      </c>
      <c r="O38" s="6">
        <v>4.2000000000000003E-2</v>
      </c>
      <c r="P38" s="7">
        <v>4582</v>
      </c>
      <c r="Q38" s="6">
        <v>-0.49299999999999999</v>
      </c>
      <c r="R38" s="7">
        <v>416.55</v>
      </c>
      <c r="S38" s="6">
        <v>3.5999999999999997E-2</v>
      </c>
      <c r="T38" s="7">
        <v>40706</v>
      </c>
      <c r="U38" s="6">
        <v>4.2000000000000003E-2</v>
      </c>
      <c r="V38" s="6">
        <v>5.0000000000000001E-3</v>
      </c>
      <c r="W38" s="6">
        <v>0.93400000000000005</v>
      </c>
      <c r="X38" s="6">
        <v>0.9</v>
      </c>
      <c r="Y38" s="6">
        <v>0.75900000000000001</v>
      </c>
      <c r="Z38" s="6">
        <v>0.14099999999999999</v>
      </c>
      <c r="AA38" s="6">
        <v>0.90400000000000003</v>
      </c>
      <c r="AB38" s="6">
        <v>0.75700000000000001</v>
      </c>
      <c r="AC38" s="6">
        <v>0.14799999999999999</v>
      </c>
      <c r="AD38" s="6">
        <v>0.63400000000000001</v>
      </c>
      <c r="AE38" s="6">
        <v>0.35299999999999998</v>
      </c>
      <c r="AF38" s="6">
        <v>0.28100000000000003</v>
      </c>
      <c r="AG38" s="6">
        <v>1.111</v>
      </c>
      <c r="AH38" s="6">
        <v>0.75900000000000001</v>
      </c>
      <c r="AI38" s="6">
        <v>0.35299999999999998</v>
      </c>
      <c r="AJ38" s="6">
        <v>1.2656000000000001</v>
      </c>
      <c r="AK38" s="7">
        <v>-10811</v>
      </c>
    </row>
    <row r="39" spans="1:37" ht="33.75" x14ac:dyDescent="0.25">
      <c r="A39" s="12" t="s">
        <v>61</v>
      </c>
      <c r="B39" s="12" t="s">
        <v>73</v>
      </c>
      <c r="C39" s="2" t="s">
        <v>73</v>
      </c>
      <c r="D39" s="2" t="s">
        <v>74</v>
      </c>
      <c r="E39" s="3">
        <v>0.77900000000000003</v>
      </c>
      <c r="F39" s="3">
        <v>0.222</v>
      </c>
      <c r="G39" s="3">
        <v>0.06</v>
      </c>
      <c r="H39" s="3">
        <v>0.06</v>
      </c>
      <c r="I39" s="4">
        <v>2</v>
      </c>
      <c r="J39" s="3">
        <v>-0.33300000000000002</v>
      </c>
      <c r="K39" s="4">
        <v>9</v>
      </c>
      <c r="L39" s="4">
        <v>0</v>
      </c>
      <c r="M39" s="4">
        <v>5641</v>
      </c>
      <c r="N39" s="4">
        <v>6724</v>
      </c>
      <c r="O39" s="3">
        <v>-0.161</v>
      </c>
      <c r="P39" s="4">
        <v>406</v>
      </c>
      <c r="Q39" s="3">
        <v>-0.753</v>
      </c>
      <c r="R39" s="4">
        <v>385.98</v>
      </c>
      <c r="S39" s="3">
        <v>-0.29499999999999998</v>
      </c>
      <c r="T39" s="4">
        <v>5778</v>
      </c>
      <c r="U39" s="3">
        <v>-7.0000000000000001E-3</v>
      </c>
      <c r="V39" s="3">
        <v>0</v>
      </c>
      <c r="W39" s="3">
        <v>0.26</v>
      </c>
      <c r="X39" s="3">
        <v>0.29299999999999998</v>
      </c>
      <c r="Y39" s="3">
        <v>1.6240000000000001</v>
      </c>
      <c r="Z39" s="3">
        <v>-1.331</v>
      </c>
      <c r="AA39" s="3">
        <v>0.29299999999999998</v>
      </c>
      <c r="AB39" s="3">
        <v>1.6240000000000001</v>
      </c>
      <c r="AC39" s="3">
        <v>-1.331</v>
      </c>
      <c r="AD39" s="3">
        <v>0</v>
      </c>
      <c r="AE39" s="3">
        <v>0</v>
      </c>
      <c r="AF39" s="3">
        <v>0</v>
      </c>
      <c r="AG39" s="3">
        <v>0.46800000000000003</v>
      </c>
      <c r="AH39" s="3">
        <v>1.6240000000000001</v>
      </c>
      <c r="AI39" s="3">
        <v>-1.1559999999999999</v>
      </c>
      <c r="AJ39" s="3">
        <v>0.55659999999999998</v>
      </c>
      <c r="AK39" s="4">
        <v>2562</v>
      </c>
    </row>
    <row r="40" spans="1:37" x14ac:dyDescent="0.25">
      <c r="A40" s="12" t="s">
        <v>61</v>
      </c>
      <c r="B40" s="12" t="s">
        <v>73</v>
      </c>
      <c r="C40" s="5" t="s">
        <v>42</v>
      </c>
      <c r="D40" s="5"/>
      <c r="E40" s="6">
        <v>0.77900000000000003</v>
      </c>
      <c r="F40" s="6">
        <v>0.222</v>
      </c>
      <c r="G40" s="6">
        <v>0.06</v>
      </c>
      <c r="H40" s="6">
        <v>0.06</v>
      </c>
      <c r="I40" s="7">
        <v>2</v>
      </c>
      <c r="J40" s="6">
        <v>-0.33300000000000002</v>
      </c>
      <c r="K40" s="7">
        <v>9</v>
      </c>
      <c r="L40" s="7">
        <v>0</v>
      </c>
      <c r="M40" s="7">
        <v>5641</v>
      </c>
      <c r="N40" s="7">
        <v>6724</v>
      </c>
      <c r="O40" s="6">
        <v>-0.161</v>
      </c>
      <c r="P40" s="7">
        <v>406</v>
      </c>
      <c r="Q40" s="6">
        <v>-0.753</v>
      </c>
      <c r="R40" s="7">
        <v>385.98</v>
      </c>
      <c r="S40" s="6">
        <v>-0.29499999999999998</v>
      </c>
      <c r="T40" s="7">
        <v>5778</v>
      </c>
      <c r="U40" s="6">
        <v>-7.0000000000000001E-3</v>
      </c>
      <c r="V40" s="6">
        <v>0</v>
      </c>
      <c r="W40" s="6">
        <v>0.26</v>
      </c>
      <c r="X40" s="6">
        <v>0.29299999999999998</v>
      </c>
      <c r="Y40" s="6">
        <v>1.6240000000000001</v>
      </c>
      <c r="Z40" s="6">
        <v>-1.331</v>
      </c>
      <c r="AA40" s="6">
        <v>0.29299999999999998</v>
      </c>
      <c r="AB40" s="6">
        <v>1.6240000000000001</v>
      </c>
      <c r="AC40" s="6">
        <v>-1.331</v>
      </c>
      <c r="AD40" s="6">
        <v>0</v>
      </c>
      <c r="AE40" s="6">
        <v>0</v>
      </c>
      <c r="AF40" s="6">
        <v>0</v>
      </c>
      <c r="AG40" s="6">
        <v>0.46800000000000003</v>
      </c>
      <c r="AH40" s="6">
        <v>1.6240000000000001</v>
      </c>
      <c r="AI40" s="6">
        <v>-1.1559999999999999</v>
      </c>
      <c r="AJ40" s="6">
        <v>0.55659999999999998</v>
      </c>
      <c r="AK40" s="7">
        <v>2562</v>
      </c>
    </row>
    <row r="41" spans="1:37" x14ac:dyDescent="0.25">
      <c r="A41" s="12" t="s">
        <v>61</v>
      </c>
      <c r="B41" s="5" t="s">
        <v>42</v>
      </c>
      <c r="C41" s="5"/>
      <c r="D41" s="5"/>
      <c r="E41" s="6">
        <v>0.80100000000000005</v>
      </c>
      <c r="F41" s="6">
        <v>0.156</v>
      </c>
      <c r="G41" s="6">
        <v>0.17899999999999999</v>
      </c>
      <c r="H41" s="6">
        <v>0.13800000000000001</v>
      </c>
      <c r="I41" s="7">
        <v>74</v>
      </c>
      <c r="J41" s="6">
        <v>-1.2999999999999999E-2</v>
      </c>
      <c r="K41" s="7">
        <v>366</v>
      </c>
      <c r="L41" s="7">
        <v>20</v>
      </c>
      <c r="M41" s="7">
        <v>207902</v>
      </c>
      <c r="N41" s="7">
        <v>212171</v>
      </c>
      <c r="O41" s="6">
        <v>-0.02</v>
      </c>
      <c r="P41" s="7">
        <v>37988</v>
      </c>
      <c r="Q41" s="6">
        <v>-0.219</v>
      </c>
      <c r="R41" s="7">
        <v>518.72</v>
      </c>
      <c r="S41" s="6">
        <v>-0.19800000000000001</v>
      </c>
      <c r="T41" s="7">
        <v>209998</v>
      </c>
      <c r="U41" s="6">
        <v>5.3999999999999999E-2</v>
      </c>
      <c r="V41" s="6">
        <v>1.6E-2</v>
      </c>
      <c r="W41" s="6">
        <v>0.49299999999999999</v>
      </c>
      <c r="X41" s="6">
        <v>0.57299999999999995</v>
      </c>
      <c r="Y41" s="6">
        <v>0.64</v>
      </c>
      <c r="Z41" s="6">
        <v>-6.7000000000000004E-2</v>
      </c>
      <c r="AA41" s="6">
        <v>0.56599999999999995</v>
      </c>
      <c r="AB41" s="6">
        <v>0.63800000000000001</v>
      </c>
      <c r="AC41" s="6">
        <v>-7.1999999999999995E-2</v>
      </c>
      <c r="AD41" s="6">
        <v>0.32900000000000001</v>
      </c>
      <c r="AE41" s="6">
        <v>0.375</v>
      </c>
      <c r="AF41" s="6">
        <v>-4.5999999999999999E-2</v>
      </c>
      <c r="AG41" s="6">
        <v>0.751</v>
      </c>
      <c r="AH41" s="6">
        <v>0.64</v>
      </c>
      <c r="AI41" s="6">
        <v>0.111</v>
      </c>
      <c r="AJ41" s="6">
        <v>0.88529999999999998</v>
      </c>
      <c r="AK41" s="7">
        <v>24086</v>
      </c>
    </row>
    <row r="42" spans="1:37" x14ac:dyDescent="0.25">
      <c r="A42" s="12" t="s">
        <v>81</v>
      </c>
      <c r="B42" s="12" t="s">
        <v>81</v>
      </c>
      <c r="C42" s="2" t="s">
        <v>81</v>
      </c>
      <c r="D42" s="2" t="s">
        <v>81</v>
      </c>
      <c r="E42" s="3">
        <v>0</v>
      </c>
      <c r="F42" s="3">
        <v>0</v>
      </c>
      <c r="G42" s="3">
        <v>0</v>
      </c>
      <c r="H42" s="3">
        <v>0</v>
      </c>
      <c r="I42" s="4">
        <v>0</v>
      </c>
      <c r="J42" s="8"/>
      <c r="K42" s="4">
        <v>0</v>
      </c>
      <c r="L42" s="4">
        <v>0</v>
      </c>
      <c r="M42" s="4">
        <v>0</v>
      </c>
      <c r="N42" s="4">
        <v>0</v>
      </c>
      <c r="O42" s="8"/>
      <c r="P42" s="4">
        <v>0</v>
      </c>
      <c r="Q42" s="8"/>
      <c r="R42" s="8"/>
      <c r="S42" s="8"/>
      <c r="T42" s="4">
        <v>0</v>
      </c>
      <c r="U42" s="8"/>
      <c r="V42" s="8"/>
      <c r="W42" s="8"/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8"/>
      <c r="AE42" s="8"/>
      <c r="AF42" s="3">
        <v>0</v>
      </c>
      <c r="AG42" s="3">
        <v>0</v>
      </c>
      <c r="AH42" s="3">
        <v>0</v>
      </c>
      <c r="AI42" s="3">
        <v>0</v>
      </c>
      <c r="AJ42" s="8"/>
      <c r="AK42" s="4">
        <v>-712</v>
      </c>
    </row>
    <row r="43" spans="1:37" x14ac:dyDescent="0.25">
      <c r="A43" s="12" t="s">
        <v>81</v>
      </c>
      <c r="B43" s="12" t="s">
        <v>81</v>
      </c>
      <c r="C43" s="5" t="s">
        <v>42</v>
      </c>
      <c r="D43" s="5"/>
      <c r="E43" s="6">
        <v>0</v>
      </c>
      <c r="F43" s="6">
        <v>0</v>
      </c>
      <c r="G43" s="6">
        <v>0</v>
      </c>
      <c r="H43" s="6">
        <v>0</v>
      </c>
      <c r="I43" s="7">
        <v>0</v>
      </c>
      <c r="J43" s="5"/>
      <c r="K43" s="7">
        <v>0</v>
      </c>
      <c r="L43" s="7">
        <v>0</v>
      </c>
      <c r="M43" s="7">
        <v>0</v>
      </c>
      <c r="N43" s="7">
        <v>0</v>
      </c>
      <c r="O43" s="5"/>
      <c r="P43" s="7">
        <v>0</v>
      </c>
      <c r="Q43" s="5"/>
      <c r="R43" s="5"/>
      <c r="S43" s="5"/>
      <c r="T43" s="7">
        <v>0</v>
      </c>
      <c r="U43" s="5"/>
      <c r="V43" s="5"/>
      <c r="W43" s="5"/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5"/>
      <c r="AE43" s="5"/>
      <c r="AF43" s="6">
        <v>0</v>
      </c>
      <c r="AG43" s="6">
        <v>0</v>
      </c>
      <c r="AH43" s="6">
        <v>0</v>
      </c>
      <c r="AI43" s="6">
        <v>0</v>
      </c>
      <c r="AJ43" s="5"/>
      <c r="AK43" s="7">
        <v>-712</v>
      </c>
    </row>
    <row r="44" spans="1:37" x14ac:dyDescent="0.25">
      <c r="A44" s="12" t="s">
        <v>81</v>
      </c>
      <c r="B44" s="5" t="s">
        <v>42</v>
      </c>
      <c r="C44" s="5"/>
      <c r="D44" s="5"/>
      <c r="E44" s="6">
        <v>0</v>
      </c>
      <c r="F44" s="6">
        <v>0</v>
      </c>
      <c r="G44" s="6">
        <v>0</v>
      </c>
      <c r="H44" s="6">
        <v>0</v>
      </c>
      <c r="I44" s="7">
        <v>0</v>
      </c>
      <c r="J44" s="5"/>
      <c r="K44" s="7">
        <v>0</v>
      </c>
      <c r="L44" s="7">
        <v>0</v>
      </c>
      <c r="M44" s="7">
        <v>0</v>
      </c>
      <c r="N44" s="7">
        <v>0</v>
      </c>
      <c r="O44" s="5"/>
      <c r="P44" s="7">
        <v>0</v>
      </c>
      <c r="Q44" s="5"/>
      <c r="R44" s="5"/>
      <c r="S44" s="5"/>
      <c r="T44" s="7">
        <v>0</v>
      </c>
      <c r="U44" s="5"/>
      <c r="V44" s="5"/>
      <c r="W44" s="5"/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5"/>
      <c r="AE44" s="5"/>
      <c r="AF44" s="6">
        <v>0</v>
      </c>
      <c r="AG44" s="6">
        <v>0</v>
      </c>
      <c r="AH44" s="6">
        <v>0</v>
      </c>
      <c r="AI44" s="6">
        <v>0</v>
      </c>
      <c r="AJ44" s="5"/>
      <c r="AK44" s="7">
        <v>-712</v>
      </c>
    </row>
    <row r="45" spans="1:37" x14ac:dyDescent="0.25">
      <c r="A45" s="2" t="s">
        <v>75</v>
      </c>
      <c r="B45" s="2" t="s">
        <v>75</v>
      </c>
      <c r="C45" s="2" t="s">
        <v>75</v>
      </c>
      <c r="D45" s="2" t="s">
        <v>75</v>
      </c>
      <c r="E45" s="6">
        <v>0.86699999999999999</v>
      </c>
      <c r="F45" s="6">
        <v>0.13400000000000001</v>
      </c>
      <c r="G45" s="6">
        <v>0.13</v>
      </c>
      <c r="H45" s="6">
        <v>8.6999999999999994E-2</v>
      </c>
      <c r="I45" s="7">
        <v>565</v>
      </c>
      <c r="J45" s="6">
        <v>0.18</v>
      </c>
      <c r="K45" s="7">
        <v>3974</v>
      </c>
      <c r="L45" s="7">
        <v>36</v>
      </c>
      <c r="M45" s="7">
        <v>1334593</v>
      </c>
      <c r="N45" s="7">
        <v>1338927</v>
      </c>
      <c r="O45" s="6">
        <v>-3.0000000000000001E-3</v>
      </c>
      <c r="P45" s="7">
        <v>173571</v>
      </c>
      <c r="Q45" s="6">
        <v>-3.5999999999999997E-2</v>
      </c>
      <c r="R45" s="7">
        <v>321.58</v>
      </c>
      <c r="S45" s="6">
        <v>-0.16300000000000001</v>
      </c>
      <c r="T45" s="7">
        <v>1330236</v>
      </c>
      <c r="U45" s="6">
        <v>2E-3</v>
      </c>
      <c r="V45" s="6">
        <v>8.0000000000000002E-3</v>
      </c>
      <c r="W45" s="6">
        <v>0.63500000000000001</v>
      </c>
      <c r="X45" s="6">
        <v>0.65600000000000003</v>
      </c>
      <c r="Y45" s="6">
        <v>0.52400000000000002</v>
      </c>
      <c r="Z45" s="6">
        <v>0.13200000000000001</v>
      </c>
      <c r="AA45" s="6">
        <v>0.65600000000000003</v>
      </c>
      <c r="AB45" s="6">
        <v>0.52400000000000002</v>
      </c>
      <c r="AC45" s="6">
        <v>0.13200000000000001</v>
      </c>
      <c r="AD45" s="6">
        <v>0.45600000000000002</v>
      </c>
      <c r="AE45" s="6">
        <v>0.61099999999999999</v>
      </c>
      <c r="AF45" s="6">
        <v>-0.155</v>
      </c>
      <c r="AG45" s="6">
        <v>0.77800000000000002</v>
      </c>
      <c r="AH45" s="6">
        <v>0.52400000000000002</v>
      </c>
      <c r="AI45" s="6">
        <v>0.254</v>
      </c>
      <c r="AJ45" s="6">
        <v>0.94010000000000005</v>
      </c>
      <c r="AK45" s="7">
        <v>79624</v>
      </c>
    </row>
    <row r="47" spans="1:37" x14ac:dyDescent="0.25">
      <c r="A47" t="s">
        <v>76</v>
      </c>
      <c r="B47" t="s">
        <v>76</v>
      </c>
      <c r="C47" t="s">
        <v>76</v>
      </c>
    </row>
    <row r="48" spans="1:37" x14ac:dyDescent="0.25">
      <c r="A48" s="9" t="s">
        <v>80</v>
      </c>
      <c r="B48" s="9" t="s">
        <v>79</v>
      </c>
    </row>
  </sheetData>
  <mergeCells count="20">
    <mergeCell ref="A42:A44"/>
    <mergeCell ref="B7:B9"/>
    <mergeCell ref="B28:B29"/>
    <mergeCell ref="B30:B31"/>
    <mergeCell ref="B32:B33"/>
    <mergeCell ref="B34:B35"/>
    <mergeCell ref="B10:B11"/>
    <mergeCell ref="B12:B13"/>
    <mergeCell ref="B14:B15"/>
    <mergeCell ref="B16:B22"/>
    <mergeCell ref="B42:B43"/>
    <mergeCell ref="C19:C20"/>
    <mergeCell ref="A4:AK4"/>
    <mergeCell ref="A5:AK5"/>
    <mergeCell ref="A7:A25"/>
    <mergeCell ref="A26:A41"/>
    <mergeCell ref="B23:B24"/>
    <mergeCell ref="B26:B27"/>
    <mergeCell ref="B36:B38"/>
    <mergeCell ref="B39:B40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1796-62BE-48A9-B158-EC5866905787}">
  <dimension ref="A4:AL45"/>
  <sheetViews>
    <sheetView workbookViewId="0">
      <selection activeCell="E39" sqref="E39"/>
    </sheetView>
  </sheetViews>
  <sheetFormatPr baseColWidth="10" defaultRowHeight="15" x14ac:dyDescent="0.25"/>
  <sheetData>
    <row r="4" spans="1:38" ht="20.25" x14ac:dyDescent="0.25">
      <c r="A4" s="10" t="s">
        <v>83</v>
      </c>
      <c r="B4" s="10" t="s">
        <v>83</v>
      </c>
      <c r="C4" s="10" t="s">
        <v>83</v>
      </c>
      <c r="D4" s="10" t="s">
        <v>83</v>
      </c>
      <c r="E4" s="10" t="s">
        <v>83</v>
      </c>
      <c r="F4" s="10" t="s">
        <v>83</v>
      </c>
      <c r="G4" s="10" t="s">
        <v>83</v>
      </c>
      <c r="H4" s="10" t="s">
        <v>83</v>
      </c>
      <c r="I4" s="10" t="s">
        <v>83</v>
      </c>
      <c r="J4" s="10" t="s">
        <v>83</v>
      </c>
      <c r="K4" s="10" t="s">
        <v>83</v>
      </c>
      <c r="L4" s="10" t="s">
        <v>83</v>
      </c>
      <c r="M4" s="10" t="s">
        <v>83</v>
      </c>
      <c r="N4" s="10" t="s">
        <v>83</v>
      </c>
      <c r="O4" s="10"/>
      <c r="P4" s="10" t="s">
        <v>83</v>
      </c>
      <c r="Q4" s="10" t="s">
        <v>83</v>
      </c>
      <c r="R4" s="10" t="s">
        <v>83</v>
      </c>
      <c r="S4" s="10" t="s">
        <v>83</v>
      </c>
      <c r="T4" s="10" t="s">
        <v>83</v>
      </c>
      <c r="U4" s="10" t="s">
        <v>83</v>
      </c>
      <c r="V4" s="10" t="s">
        <v>83</v>
      </c>
      <c r="W4" s="10" t="s">
        <v>83</v>
      </c>
      <c r="X4" s="10" t="s">
        <v>83</v>
      </c>
      <c r="Y4" s="10" t="s">
        <v>83</v>
      </c>
      <c r="Z4" s="10" t="s">
        <v>83</v>
      </c>
      <c r="AA4" s="10" t="s">
        <v>83</v>
      </c>
      <c r="AB4" s="10" t="s">
        <v>83</v>
      </c>
      <c r="AC4" s="10" t="s">
        <v>83</v>
      </c>
      <c r="AD4" s="10" t="s">
        <v>83</v>
      </c>
      <c r="AE4" s="10" t="s">
        <v>83</v>
      </c>
      <c r="AF4" s="10" t="s">
        <v>83</v>
      </c>
      <c r="AG4" s="10" t="s">
        <v>83</v>
      </c>
      <c r="AH4" s="10" t="s">
        <v>83</v>
      </c>
      <c r="AI4" s="10" t="s">
        <v>83</v>
      </c>
      <c r="AJ4" s="10" t="s">
        <v>83</v>
      </c>
      <c r="AK4" s="10" t="s">
        <v>83</v>
      </c>
      <c r="AL4" s="10" t="s">
        <v>83</v>
      </c>
    </row>
    <row r="5" spans="1:38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/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1.034</v>
      </c>
      <c r="F7" s="3">
        <v>0</v>
      </c>
      <c r="G7" s="3">
        <v>0</v>
      </c>
      <c r="H7" s="3">
        <v>0</v>
      </c>
      <c r="I7" s="4">
        <v>0</v>
      </c>
      <c r="J7" s="8"/>
      <c r="K7" s="4">
        <v>22</v>
      </c>
      <c r="L7" s="4">
        <v>0</v>
      </c>
      <c r="M7" s="4">
        <v>637</v>
      </c>
      <c r="N7" s="4">
        <v>616</v>
      </c>
      <c r="O7" s="4">
        <f t="shared" ref="O7:O43" si="0">M7-N7</f>
        <v>21</v>
      </c>
      <c r="P7" s="3">
        <v>3.4000000000000002E-2</v>
      </c>
      <c r="Q7" s="4">
        <v>0</v>
      </c>
      <c r="R7" s="8"/>
      <c r="S7" s="8"/>
      <c r="T7" s="8"/>
      <c r="U7" s="4">
        <v>315</v>
      </c>
      <c r="V7" s="3">
        <v>-7.6999999999999999E-2</v>
      </c>
      <c r="W7" s="3">
        <v>0</v>
      </c>
      <c r="X7" s="3">
        <v>0</v>
      </c>
      <c r="Y7" s="3">
        <v>0.14499999999999999</v>
      </c>
      <c r="Z7" s="3">
        <v>0.14499999999999999</v>
      </c>
      <c r="AA7" s="3">
        <v>0</v>
      </c>
      <c r="AB7" s="3">
        <v>0.14499999999999999</v>
      </c>
      <c r="AC7" s="3">
        <v>0.14499999999999999</v>
      </c>
      <c r="AD7" s="3">
        <v>0</v>
      </c>
      <c r="AE7" s="8"/>
      <c r="AF7" s="8"/>
      <c r="AG7" s="8"/>
      <c r="AH7" s="3">
        <v>0.36099999999999999</v>
      </c>
      <c r="AI7" s="3">
        <v>0.14499999999999999</v>
      </c>
      <c r="AJ7" s="3">
        <v>0.216</v>
      </c>
      <c r="AK7" s="3">
        <v>0</v>
      </c>
      <c r="AL7" s="4">
        <v>0</v>
      </c>
    </row>
    <row r="8" spans="1:38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1.083</v>
      </c>
      <c r="F8" s="3">
        <v>0</v>
      </c>
      <c r="G8" s="3">
        <v>0</v>
      </c>
      <c r="H8" s="3">
        <v>0</v>
      </c>
      <c r="I8" s="4">
        <v>0</v>
      </c>
      <c r="J8" s="8"/>
      <c r="K8" s="4">
        <v>49</v>
      </c>
      <c r="L8" s="4">
        <v>0</v>
      </c>
      <c r="M8" s="4">
        <v>1289</v>
      </c>
      <c r="N8" s="4">
        <v>1190</v>
      </c>
      <c r="O8" s="4">
        <f t="shared" si="0"/>
        <v>99</v>
      </c>
      <c r="P8" s="3">
        <v>8.3000000000000004E-2</v>
      </c>
      <c r="Q8" s="4">
        <v>0</v>
      </c>
      <c r="R8" s="8"/>
      <c r="S8" s="8"/>
      <c r="T8" s="8"/>
      <c r="U8" s="4">
        <v>740</v>
      </c>
      <c r="V8" s="3">
        <v>0.15</v>
      </c>
      <c r="W8" s="3">
        <v>0</v>
      </c>
      <c r="X8" s="3">
        <v>0</v>
      </c>
      <c r="Y8" s="3">
        <v>-4.0000000000000001E-3</v>
      </c>
      <c r="Z8" s="3">
        <v>-4.0000000000000001E-3</v>
      </c>
      <c r="AA8" s="3">
        <v>0</v>
      </c>
      <c r="AB8" s="3">
        <v>-4.0000000000000001E-3</v>
      </c>
      <c r="AC8" s="3">
        <v>-4.0000000000000001E-3</v>
      </c>
      <c r="AD8" s="3">
        <v>0</v>
      </c>
      <c r="AE8" s="8"/>
      <c r="AF8" s="8"/>
      <c r="AG8" s="8"/>
      <c r="AH8" s="3">
        <v>0.25900000000000001</v>
      </c>
      <c r="AI8" s="3">
        <v>-4.0000000000000001E-3</v>
      </c>
      <c r="AJ8" s="3">
        <v>0.26300000000000001</v>
      </c>
      <c r="AK8" s="3">
        <v>0</v>
      </c>
      <c r="AL8" s="4">
        <v>0</v>
      </c>
    </row>
    <row r="9" spans="1:38" x14ac:dyDescent="0.25">
      <c r="A9" s="12" t="s">
        <v>37</v>
      </c>
      <c r="B9" s="12" t="s">
        <v>38</v>
      </c>
      <c r="C9" s="5" t="s">
        <v>42</v>
      </c>
      <c r="D9" s="5"/>
      <c r="E9" s="6">
        <v>1.0669999999999999</v>
      </c>
      <c r="F9" s="6">
        <v>0</v>
      </c>
      <c r="G9" s="6">
        <v>0</v>
      </c>
      <c r="H9" s="6">
        <v>0</v>
      </c>
      <c r="I9" s="7">
        <v>0</v>
      </c>
      <c r="J9" s="5"/>
      <c r="K9" s="7">
        <v>71</v>
      </c>
      <c r="L9" s="7">
        <v>0</v>
      </c>
      <c r="M9" s="7">
        <v>1926</v>
      </c>
      <c r="N9" s="7">
        <v>1806</v>
      </c>
      <c r="O9" s="4">
        <f t="shared" si="0"/>
        <v>120</v>
      </c>
      <c r="P9" s="6">
        <v>6.7000000000000004E-2</v>
      </c>
      <c r="Q9" s="7">
        <v>0</v>
      </c>
      <c r="R9" s="5"/>
      <c r="S9" s="5"/>
      <c r="T9" s="5"/>
      <c r="U9" s="7">
        <v>1055</v>
      </c>
      <c r="V9" s="6">
        <v>7.0999999999999994E-2</v>
      </c>
      <c r="W9" s="6">
        <v>0</v>
      </c>
      <c r="X9" s="6">
        <v>0</v>
      </c>
      <c r="Y9" s="6">
        <v>0.04</v>
      </c>
      <c r="Z9" s="6">
        <v>4.8000000000000001E-2</v>
      </c>
      <c r="AA9" s="6">
        <v>-7.0000000000000001E-3</v>
      </c>
      <c r="AB9" s="6">
        <v>0.04</v>
      </c>
      <c r="AC9" s="6">
        <v>4.8000000000000001E-2</v>
      </c>
      <c r="AD9" s="6">
        <v>-7.0000000000000001E-3</v>
      </c>
      <c r="AE9" s="5"/>
      <c r="AF9" s="5"/>
      <c r="AG9" s="5"/>
      <c r="AH9" s="6">
        <v>0.28999999999999998</v>
      </c>
      <c r="AI9" s="6">
        <v>4.8000000000000001E-2</v>
      </c>
      <c r="AJ9" s="6">
        <v>0.24199999999999999</v>
      </c>
      <c r="AK9" s="6">
        <v>0</v>
      </c>
      <c r="AL9" s="7">
        <v>0</v>
      </c>
    </row>
    <row r="10" spans="1:38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1.008</v>
      </c>
      <c r="F10" s="3">
        <v>1.4999999999999999E-2</v>
      </c>
      <c r="G10" s="3">
        <v>3.5000000000000003E-2</v>
      </c>
      <c r="H10" s="3">
        <v>2.1000000000000001E-2</v>
      </c>
      <c r="I10" s="4">
        <v>33</v>
      </c>
      <c r="J10" s="3">
        <v>0.17899999999999999</v>
      </c>
      <c r="K10" s="4">
        <v>2510</v>
      </c>
      <c r="L10" s="4">
        <v>-5</v>
      </c>
      <c r="M10" s="4">
        <v>243166</v>
      </c>
      <c r="N10" s="4">
        <v>233099</v>
      </c>
      <c r="O10" s="4">
        <f t="shared" si="0"/>
        <v>10067</v>
      </c>
      <c r="P10" s="3">
        <v>4.2999999999999997E-2</v>
      </c>
      <c r="Q10" s="4">
        <v>8199</v>
      </c>
      <c r="R10" s="3">
        <v>-0.23100000000000001</v>
      </c>
      <c r="S10" s="4">
        <v>248.46</v>
      </c>
      <c r="T10" s="3">
        <v>-0.34699999999999998</v>
      </c>
      <c r="U10" s="4">
        <v>77520</v>
      </c>
      <c r="V10" s="3">
        <v>6.0000000000000001E-3</v>
      </c>
      <c r="W10" s="3">
        <v>1.4E-2</v>
      </c>
      <c r="X10" s="3">
        <v>0.66600000000000004</v>
      </c>
      <c r="Y10" s="3">
        <v>0.66700000000000004</v>
      </c>
      <c r="Z10" s="3">
        <v>0.34899999999999998</v>
      </c>
      <c r="AA10" s="3">
        <v>0.318</v>
      </c>
      <c r="AB10" s="3">
        <v>0.66700000000000004</v>
      </c>
      <c r="AC10" s="3">
        <v>0.34899999999999998</v>
      </c>
      <c r="AD10" s="3">
        <v>0.318</v>
      </c>
      <c r="AE10" s="3">
        <v>0</v>
      </c>
      <c r="AF10" s="3">
        <v>0</v>
      </c>
      <c r="AG10" s="3">
        <v>0</v>
      </c>
      <c r="AH10" s="3">
        <v>0.751</v>
      </c>
      <c r="AI10" s="3">
        <v>0.34899999999999998</v>
      </c>
      <c r="AJ10" s="3">
        <v>0.40300000000000002</v>
      </c>
      <c r="AK10" s="3">
        <v>0</v>
      </c>
      <c r="AL10" s="4">
        <v>0</v>
      </c>
    </row>
    <row r="11" spans="1:38" x14ac:dyDescent="0.25">
      <c r="A11" s="12" t="s">
        <v>37</v>
      </c>
      <c r="B11" s="12" t="s">
        <v>43</v>
      </c>
      <c r="C11" s="5" t="s">
        <v>42</v>
      </c>
      <c r="D11" s="5"/>
      <c r="E11" s="6">
        <v>1.008</v>
      </c>
      <c r="F11" s="6">
        <v>1.4999999999999999E-2</v>
      </c>
      <c r="G11" s="6">
        <v>3.5000000000000003E-2</v>
      </c>
      <c r="H11" s="6">
        <v>2.1000000000000001E-2</v>
      </c>
      <c r="I11" s="7">
        <v>33</v>
      </c>
      <c r="J11" s="6">
        <v>0.17899999999999999</v>
      </c>
      <c r="K11" s="7">
        <v>2510</v>
      </c>
      <c r="L11" s="7">
        <v>-5</v>
      </c>
      <c r="M11" s="7">
        <v>243166</v>
      </c>
      <c r="N11" s="7">
        <v>233099</v>
      </c>
      <c r="O11" s="4">
        <f t="shared" si="0"/>
        <v>10067</v>
      </c>
      <c r="P11" s="6">
        <v>4.2999999999999997E-2</v>
      </c>
      <c r="Q11" s="7">
        <v>8199</v>
      </c>
      <c r="R11" s="6">
        <v>-0.23100000000000001</v>
      </c>
      <c r="S11" s="7">
        <v>248.46</v>
      </c>
      <c r="T11" s="6">
        <v>-0.34699999999999998</v>
      </c>
      <c r="U11" s="7">
        <v>77520</v>
      </c>
      <c r="V11" s="6">
        <v>6.0000000000000001E-3</v>
      </c>
      <c r="W11" s="6">
        <v>1.4E-2</v>
      </c>
      <c r="X11" s="6">
        <v>0.66600000000000004</v>
      </c>
      <c r="Y11" s="6">
        <v>0.66700000000000004</v>
      </c>
      <c r="Z11" s="6">
        <v>0.34899999999999998</v>
      </c>
      <c r="AA11" s="6">
        <v>0.318</v>
      </c>
      <c r="AB11" s="6">
        <v>0.66700000000000004</v>
      </c>
      <c r="AC11" s="6">
        <v>0.34899999999999998</v>
      </c>
      <c r="AD11" s="6">
        <v>0.318</v>
      </c>
      <c r="AE11" s="6">
        <v>0</v>
      </c>
      <c r="AF11" s="6">
        <v>0</v>
      </c>
      <c r="AG11" s="6">
        <v>0</v>
      </c>
      <c r="AH11" s="6">
        <v>0.751</v>
      </c>
      <c r="AI11" s="6">
        <v>0.34899999999999998</v>
      </c>
      <c r="AJ11" s="6">
        <v>0.40300000000000002</v>
      </c>
      <c r="AK11" s="6">
        <v>0</v>
      </c>
      <c r="AL11" s="7">
        <v>0</v>
      </c>
    </row>
    <row r="12" spans="1:38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0.94599999999999995</v>
      </c>
      <c r="F12" s="3">
        <v>4.0000000000000001E-3</v>
      </c>
      <c r="G12" s="3">
        <v>0.11600000000000001</v>
      </c>
      <c r="H12" s="3">
        <v>5.7000000000000002E-2</v>
      </c>
      <c r="I12" s="4">
        <v>9</v>
      </c>
      <c r="J12" s="3">
        <v>0</v>
      </c>
      <c r="K12" s="4">
        <v>758</v>
      </c>
      <c r="L12" s="4">
        <v>6</v>
      </c>
      <c r="M12" s="4">
        <v>14397</v>
      </c>
      <c r="N12" s="4">
        <v>13560</v>
      </c>
      <c r="O12" s="4">
        <f t="shared" si="0"/>
        <v>837</v>
      </c>
      <c r="P12" s="3">
        <v>6.2E-2</v>
      </c>
      <c r="Q12" s="4">
        <v>1568</v>
      </c>
      <c r="R12" s="3">
        <v>-0.29499999999999998</v>
      </c>
      <c r="S12" s="4">
        <v>174.24</v>
      </c>
      <c r="T12" s="3">
        <v>-0.29499999999999998</v>
      </c>
      <c r="U12" s="4">
        <v>13414</v>
      </c>
      <c r="V12" s="3">
        <v>4.1000000000000002E-2</v>
      </c>
      <c r="W12" s="3">
        <v>8.0000000000000002E-3</v>
      </c>
      <c r="X12" s="3">
        <v>0.60299999999999998</v>
      </c>
      <c r="Y12" s="3">
        <v>0.64800000000000002</v>
      </c>
      <c r="Z12" s="3">
        <v>0.92500000000000004</v>
      </c>
      <c r="AA12" s="3">
        <v>-0.27800000000000002</v>
      </c>
      <c r="AB12" s="3">
        <v>0.65500000000000003</v>
      </c>
      <c r="AC12" s="3">
        <v>0.93300000000000005</v>
      </c>
      <c r="AD12" s="3">
        <v>-0.27800000000000002</v>
      </c>
      <c r="AE12" s="3">
        <v>0</v>
      </c>
      <c r="AF12" s="3">
        <v>0</v>
      </c>
      <c r="AG12" s="3">
        <v>0</v>
      </c>
      <c r="AH12" s="3">
        <v>0.86899999999999999</v>
      </c>
      <c r="AI12" s="3">
        <v>0.92500000000000004</v>
      </c>
      <c r="AJ12" s="3">
        <v>-5.6000000000000001E-2</v>
      </c>
      <c r="AK12" s="3">
        <v>0</v>
      </c>
      <c r="AL12" s="4">
        <v>0</v>
      </c>
    </row>
    <row r="13" spans="1:38" x14ac:dyDescent="0.25">
      <c r="A13" s="12" t="s">
        <v>37</v>
      </c>
      <c r="B13" s="12" t="s">
        <v>45</v>
      </c>
      <c r="C13" s="5" t="s">
        <v>42</v>
      </c>
      <c r="D13" s="5"/>
      <c r="E13" s="6">
        <v>0.94599999999999995</v>
      </c>
      <c r="F13" s="6">
        <v>4.0000000000000001E-3</v>
      </c>
      <c r="G13" s="6">
        <v>0.11600000000000001</v>
      </c>
      <c r="H13" s="6">
        <v>5.7000000000000002E-2</v>
      </c>
      <c r="I13" s="7">
        <v>9</v>
      </c>
      <c r="J13" s="6">
        <v>0</v>
      </c>
      <c r="K13" s="7">
        <v>758</v>
      </c>
      <c r="L13" s="7">
        <v>6</v>
      </c>
      <c r="M13" s="7">
        <v>14397</v>
      </c>
      <c r="N13" s="7">
        <v>13560</v>
      </c>
      <c r="O13" s="4">
        <f t="shared" si="0"/>
        <v>837</v>
      </c>
      <c r="P13" s="6">
        <v>6.2E-2</v>
      </c>
      <c r="Q13" s="7">
        <v>1568</v>
      </c>
      <c r="R13" s="6">
        <v>-0.29499999999999998</v>
      </c>
      <c r="S13" s="7">
        <v>174.24</v>
      </c>
      <c r="T13" s="6">
        <v>-0.29499999999999998</v>
      </c>
      <c r="U13" s="7">
        <v>13414</v>
      </c>
      <c r="V13" s="6">
        <v>4.1000000000000002E-2</v>
      </c>
      <c r="W13" s="6">
        <v>8.0000000000000002E-3</v>
      </c>
      <c r="X13" s="6">
        <v>0.60299999999999998</v>
      </c>
      <c r="Y13" s="6">
        <v>0.64800000000000002</v>
      </c>
      <c r="Z13" s="6">
        <v>0.92500000000000004</v>
      </c>
      <c r="AA13" s="6">
        <v>-0.27800000000000002</v>
      </c>
      <c r="AB13" s="6">
        <v>0.65500000000000003</v>
      </c>
      <c r="AC13" s="6">
        <v>0.93300000000000005</v>
      </c>
      <c r="AD13" s="6">
        <v>-0.27800000000000002</v>
      </c>
      <c r="AE13" s="6">
        <v>0</v>
      </c>
      <c r="AF13" s="6">
        <v>0</v>
      </c>
      <c r="AG13" s="6">
        <v>0</v>
      </c>
      <c r="AH13" s="6">
        <v>0.86899999999999999</v>
      </c>
      <c r="AI13" s="6">
        <v>0.92500000000000004</v>
      </c>
      <c r="AJ13" s="6">
        <v>-5.6000000000000001E-2</v>
      </c>
      <c r="AK13" s="6">
        <v>0</v>
      </c>
      <c r="AL13" s="7">
        <v>0</v>
      </c>
    </row>
    <row r="14" spans="1:38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1.0229999999999999</v>
      </c>
      <c r="F14" s="3">
        <v>0</v>
      </c>
      <c r="G14" s="3">
        <v>0</v>
      </c>
      <c r="H14" s="3">
        <v>0</v>
      </c>
      <c r="I14" s="4">
        <v>0</v>
      </c>
      <c r="J14" s="8"/>
      <c r="K14" s="4">
        <v>24</v>
      </c>
      <c r="L14" s="4">
        <v>0</v>
      </c>
      <c r="M14" s="4">
        <v>323</v>
      </c>
      <c r="N14" s="4">
        <v>316</v>
      </c>
      <c r="O14" s="4">
        <f t="shared" si="0"/>
        <v>7</v>
      </c>
      <c r="P14" s="3">
        <v>2.3E-2</v>
      </c>
      <c r="Q14" s="4">
        <v>0</v>
      </c>
      <c r="R14" s="8"/>
      <c r="S14" s="8"/>
      <c r="T14" s="8"/>
      <c r="U14" s="4">
        <v>1469</v>
      </c>
      <c r="V14" s="3">
        <v>0.09</v>
      </c>
      <c r="W14" s="3">
        <v>0</v>
      </c>
      <c r="X14" s="3">
        <v>0.17</v>
      </c>
      <c r="Y14" s="3">
        <v>0.24099999999999999</v>
      </c>
      <c r="Z14" s="3">
        <v>0.70899999999999996</v>
      </c>
      <c r="AA14" s="3">
        <v>-0.46800000000000003</v>
      </c>
      <c r="AB14" s="3">
        <v>0.25</v>
      </c>
      <c r="AC14" s="3">
        <v>0.71799999999999997</v>
      </c>
      <c r="AD14" s="3">
        <v>-0.46800000000000003</v>
      </c>
      <c r="AE14" s="8"/>
      <c r="AF14" s="8"/>
      <c r="AG14" s="8"/>
      <c r="AH14" s="3">
        <v>0.441</v>
      </c>
      <c r="AI14" s="3">
        <v>0.70899999999999996</v>
      </c>
      <c r="AJ14" s="3">
        <v>-0.26800000000000002</v>
      </c>
      <c r="AK14" s="3">
        <v>0</v>
      </c>
      <c r="AL14" s="4">
        <v>0</v>
      </c>
    </row>
    <row r="15" spans="1:38" x14ac:dyDescent="0.25">
      <c r="A15" s="12" t="s">
        <v>37</v>
      </c>
      <c r="B15" s="12" t="s">
        <v>46</v>
      </c>
      <c r="C15" s="5" t="s">
        <v>42</v>
      </c>
      <c r="D15" s="5"/>
      <c r="E15" s="6">
        <v>1.0229999999999999</v>
      </c>
      <c r="F15" s="6">
        <v>0</v>
      </c>
      <c r="G15" s="6">
        <v>0</v>
      </c>
      <c r="H15" s="6">
        <v>0</v>
      </c>
      <c r="I15" s="7">
        <v>0</v>
      </c>
      <c r="J15" s="5"/>
      <c r="K15" s="7">
        <v>24</v>
      </c>
      <c r="L15" s="7">
        <v>0</v>
      </c>
      <c r="M15" s="7">
        <v>323</v>
      </c>
      <c r="N15" s="7">
        <v>316</v>
      </c>
      <c r="O15" s="4">
        <f t="shared" si="0"/>
        <v>7</v>
      </c>
      <c r="P15" s="6">
        <v>2.3E-2</v>
      </c>
      <c r="Q15" s="7">
        <v>0</v>
      </c>
      <c r="R15" s="5"/>
      <c r="S15" s="5"/>
      <c r="T15" s="5"/>
      <c r="U15" s="7">
        <v>1469</v>
      </c>
      <c r="V15" s="6">
        <v>0.09</v>
      </c>
      <c r="W15" s="6">
        <v>0</v>
      </c>
      <c r="X15" s="6">
        <v>0.17</v>
      </c>
      <c r="Y15" s="6">
        <v>0.24099999999999999</v>
      </c>
      <c r="Z15" s="6">
        <v>0.70899999999999996</v>
      </c>
      <c r="AA15" s="6">
        <v>-0.46800000000000003</v>
      </c>
      <c r="AB15" s="6">
        <v>0.25</v>
      </c>
      <c r="AC15" s="6">
        <v>0.71799999999999997</v>
      </c>
      <c r="AD15" s="6">
        <v>-0.46800000000000003</v>
      </c>
      <c r="AE15" s="5"/>
      <c r="AF15" s="5"/>
      <c r="AG15" s="5"/>
      <c r="AH15" s="6">
        <v>0.441</v>
      </c>
      <c r="AI15" s="6">
        <v>0.70899999999999996</v>
      </c>
      <c r="AJ15" s="6">
        <v>-0.26800000000000002</v>
      </c>
      <c r="AK15" s="6">
        <v>0</v>
      </c>
      <c r="AL15" s="7">
        <v>0</v>
      </c>
    </row>
    <row r="16" spans="1:38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0</v>
      </c>
      <c r="G16" s="3">
        <v>0</v>
      </c>
      <c r="H16" s="3">
        <v>0</v>
      </c>
      <c r="I16" s="4">
        <v>1</v>
      </c>
      <c r="J16" s="8"/>
      <c r="K16" s="4">
        <v>2</v>
      </c>
      <c r="L16" s="4">
        <v>1</v>
      </c>
      <c r="M16" s="4">
        <v>142</v>
      </c>
      <c r="N16" s="4">
        <v>0</v>
      </c>
      <c r="O16" s="4">
        <f t="shared" si="0"/>
        <v>142</v>
      </c>
      <c r="P16" s="8"/>
      <c r="Q16" s="4">
        <v>142</v>
      </c>
      <c r="R16" s="8"/>
      <c r="S16" s="4">
        <v>2166.27</v>
      </c>
      <c r="T16" s="8"/>
      <c r="U16" s="4">
        <v>143</v>
      </c>
      <c r="V16" s="3">
        <v>3.2869999999999999</v>
      </c>
      <c r="W16" s="3">
        <v>0</v>
      </c>
      <c r="X16" s="3">
        <v>0</v>
      </c>
      <c r="Y16" s="3">
        <v>3.7999999999999999E-2</v>
      </c>
      <c r="Z16" s="3">
        <v>3.7999999999999999E-2</v>
      </c>
      <c r="AA16" s="3">
        <v>0</v>
      </c>
      <c r="AB16" s="3">
        <v>3.7999999999999999E-2</v>
      </c>
      <c r="AC16" s="3">
        <v>3.7999999999999999E-2</v>
      </c>
      <c r="AD16" s="3">
        <v>0</v>
      </c>
      <c r="AE16" s="3">
        <v>0</v>
      </c>
      <c r="AF16" s="8"/>
      <c r="AG16" s="8"/>
      <c r="AH16" s="3">
        <v>0.188</v>
      </c>
      <c r="AI16" s="3">
        <v>3.7999999999999999E-2</v>
      </c>
      <c r="AJ16" s="3">
        <v>0.15</v>
      </c>
      <c r="AK16" s="3">
        <v>0</v>
      </c>
      <c r="AL16" s="4">
        <v>0</v>
      </c>
    </row>
    <row r="17" spans="1:38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</v>
      </c>
      <c r="F17" s="3">
        <v>0</v>
      </c>
      <c r="G17" s="3">
        <v>0</v>
      </c>
      <c r="H17" s="3">
        <v>0</v>
      </c>
      <c r="I17" s="4">
        <v>0</v>
      </c>
      <c r="J17" s="8"/>
      <c r="K17" s="4">
        <v>8</v>
      </c>
      <c r="L17" s="4">
        <v>0</v>
      </c>
      <c r="M17" s="4">
        <v>0</v>
      </c>
      <c r="N17" s="4">
        <v>0</v>
      </c>
      <c r="O17" s="4">
        <f t="shared" si="0"/>
        <v>0</v>
      </c>
      <c r="P17" s="8"/>
      <c r="Q17" s="4">
        <v>0</v>
      </c>
      <c r="R17" s="8"/>
      <c r="S17" s="8"/>
      <c r="T17" s="8"/>
      <c r="U17" s="4">
        <v>96</v>
      </c>
      <c r="V17" s="3">
        <v>0.114</v>
      </c>
      <c r="W17" s="3">
        <v>0</v>
      </c>
      <c r="X17" s="3">
        <v>0</v>
      </c>
      <c r="Y17" s="3">
        <v>2.3E-2</v>
      </c>
      <c r="Z17" s="3">
        <v>2.3E-2</v>
      </c>
      <c r="AA17" s="3">
        <v>0</v>
      </c>
      <c r="AB17" s="3">
        <v>2.3E-2</v>
      </c>
      <c r="AC17" s="3">
        <v>2.3E-2</v>
      </c>
      <c r="AD17" s="3">
        <v>0</v>
      </c>
      <c r="AE17" s="8"/>
      <c r="AF17" s="8"/>
      <c r="AG17" s="8"/>
      <c r="AH17" s="3">
        <v>0.17299999999999999</v>
      </c>
      <c r="AI17" s="3">
        <v>2.3E-2</v>
      </c>
      <c r="AJ17" s="3">
        <v>0.15</v>
      </c>
      <c r="AK17" s="3">
        <v>0</v>
      </c>
      <c r="AL17" s="4">
        <v>0</v>
      </c>
    </row>
    <row r="18" spans="1:38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1.05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5</v>
      </c>
      <c r="L18" s="4">
        <v>0</v>
      </c>
      <c r="M18" s="4">
        <v>68</v>
      </c>
      <c r="N18" s="4">
        <v>65</v>
      </c>
      <c r="O18" s="4">
        <f t="shared" si="0"/>
        <v>3</v>
      </c>
      <c r="P18" s="3">
        <v>0.05</v>
      </c>
      <c r="Q18" s="4">
        <v>0</v>
      </c>
      <c r="R18" s="8"/>
      <c r="S18" s="8"/>
      <c r="T18" s="8"/>
      <c r="U18" s="4">
        <v>31</v>
      </c>
      <c r="V18" s="3">
        <v>-4.2000000000000003E-2</v>
      </c>
      <c r="W18" s="3">
        <v>0</v>
      </c>
      <c r="X18" s="3">
        <v>0</v>
      </c>
      <c r="Y18" s="3">
        <v>-4.0000000000000001E-3</v>
      </c>
      <c r="Z18" s="3">
        <v>-4.0000000000000001E-3</v>
      </c>
      <c r="AA18" s="3">
        <v>0</v>
      </c>
      <c r="AB18" s="3">
        <v>-4.0000000000000001E-3</v>
      </c>
      <c r="AC18" s="3">
        <v>-4.0000000000000001E-3</v>
      </c>
      <c r="AD18" s="3">
        <v>0</v>
      </c>
      <c r="AE18" s="8"/>
      <c r="AF18" s="8"/>
      <c r="AG18" s="8"/>
      <c r="AH18" s="3">
        <v>0.20100000000000001</v>
      </c>
      <c r="AI18" s="3">
        <v>-4.0000000000000001E-3</v>
      </c>
      <c r="AJ18" s="3">
        <v>0.20499999999999999</v>
      </c>
      <c r="AK18" s="3">
        <v>0</v>
      </c>
      <c r="AL18" s="4">
        <v>0</v>
      </c>
    </row>
    <row r="19" spans="1:38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0.56699999999999995</v>
      </c>
      <c r="F19" s="3">
        <v>8.9999999999999993E-3</v>
      </c>
      <c r="G19" s="3">
        <v>0</v>
      </c>
      <c r="H19" s="3">
        <v>0</v>
      </c>
      <c r="I19" s="4">
        <v>0</v>
      </c>
      <c r="J19" s="8"/>
      <c r="K19" s="4">
        <v>109</v>
      </c>
      <c r="L19" s="4">
        <v>-1</v>
      </c>
      <c r="M19" s="4">
        <v>21</v>
      </c>
      <c r="N19" s="4">
        <v>38</v>
      </c>
      <c r="O19" s="4">
        <f t="shared" si="0"/>
        <v>-17</v>
      </c>
      <c r="P19" s="3">
        <v>-0.433</v>
      </c>
      <c r="Q19" s="4">
        <v>0</v>
      </c>
      <c r="R19" s="8"/>
      <c r="S19" s="8"/>
      <c r="T19" s="8"/>
      <c r="U19" s="4">
        <v>175</v>
      </c>
      <c r="V19" s="3">
        <v>-5.2999999999999999E-2</v>
      </c>
      <c r="W19" s="3">
        <v>0</v>
      </c>
      <c r="X19" s="3">
        <v>0</v>
      </c>
      <c r="Y19" s="3">
        <v>3.1E-2</v>
      </c>
      <c r="Z19" s="3">
        <v>3.1E-2</v>
      </c>
      <c r="AA19" s="3">
        <v>0</v>
      </c>
      <c r="AB19" s="3">
        <v>3.1E-2</v>
      </c>
      <c r="AC19" s="3">
        <v>3.1E-2</v>
      </c>
      <c r="AD19" s="3">
        <v>0</v>
      </c>
      <c r="AE19" s="8"/>
      <c r="AF19" s="8"/>
      <c r="AG19" s="8"/>
      <c r="AH19" s="3">
        <v>0.27300000000000002</v>
      </c>
      <c r="AI19" s="3">
        <v>3.1E-2</v>
      </c>
      <c r="AJ19" s="3">
        <v>0.24199999999999999</v>
      </c>
      <c r="AK19" s="3">
        <v>0</v>
      </c>
      <c r="AL19" s="4">
        <v>0</v>
      </c>
    </row>
    <row r="20" spans="1:38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6.4000000000000001E-2</v>
      </c>
      <c r="F20" s="3">
        <v>5.6000000000000001E-2</v>
      </c>
      <c r="G20" s="3">
        <v>1.702</v>
      </c>
      <c r="H20" s="3">
        <v>1.702</v>
      </c>
      <c r="I20" s="4">
        <v>1</v>
      </c>
      <c r="J20" s="3">
        <v>-0.5</v>
      </c>
      <c r="K20" s="4">
        <v>35</v>
      </c>
      <c r="L20" s="4">
        <v>-1</v>
      </c>
      <c r="M20" s="4">
        <v>242</v>
      </c>
      <c r="N20" s="4">
        <v>137</v>
      </c>
      <c r="O20" s="4">
        <f t="shared" si="0"/>
        <v>105</v>
      </c>
      <c r="P20" s="3">
        <v>0.76600000000000001</v>
      </c>
      <c r="Q20" s="4">
        <v>234</v>
      </c>
      <c r="R20" s="3">
        <v>0.68700000000000006</v>
      </c>
      <c r="S20" s="4">
        <v>233.61</v>
      </c>
      <c r="T20" s="3">
        <v>0.81599999999999995</v>
      </c>
      <c r="U20" s="4">
        <v>613</v>
      </c>
      <c r="V20" s="3">
        <v>0.22900000000000001</v>
      </c>
      <c r="W20" s="3">
        <v>3.1E-2</v>
      </c>
      <c r="X20" s="3">
        <v>0</v>
      </c>
      <c r="Y20" s="3">
        <v>6.9000000000000006E-2</v>
      </c>
      <c r="Z20" s="3">
        <v>6.9000000000000006E-2</v>
      </c>
      <c r="AA20" s="3">
        <v>0</v>
      </c>
      <c r="AB20" s="3">
        <v>6.9000000000000006E-2</v>
      </c>
      <c r="AC20" s="3">
        <v>6.9000000000000006E-2</v>
      </c>
      <c r="AD20" s="3">
        <v>0</v>
      </c>
      <c r="AE20" s="3">
        <v>0</v>
      </c>
      <c r="AF20" s="3">
        <v>0</v>
      </c>
      <c r="AG20" s="3">
        <v>0</v>
      </c>
      <c r="AH20" s="3">
        <v>0.26900000000000002</v>
      </c>
      <c r="AI20" s="3">
        <v>6.9000000000000006E-2</v>
      </c>
      <c r="AJ20" s="3">
        <v>0.19900000000000001</v>
      </c>
      <c r="AK20" s="3">
        <v>0</v>
      </c>
      <c r="AL20" s="4">
        <v>0</v>
      </c>
    </row>
    <row r="21" spans="1:38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1.0429999999999999</v>
      </c>
      <c r="F21" s="3">
        <v>0</v>
      </c>
      <c r="G21" s="3">
        <v>0</v>
      </c>
      <c r="H21" s="3">
        <v>0</v>
      </c>
      <c r="I21" s="4">
        <v>0</v>
      </c>
      <c r="J21" s="8"/>
      <c r="K21" s="4">
        <v>30</v>
      </c>
      <c r="L21" s="4">
        <v>0</v>
      </c>
      <c r="M21" s="4">
        <v>326</v>
      </c>
      <c r="N21" s="4">
        <v>313</v>
      </c>
      <c r="O21" s="4">
        <f t="shared" si="0"/>
        <v>13</v>
      </c>
      <c r="P21" s="3">
        <v>4.2999999999999997E-2</v>
      </c>
      <c r="Q21" s="4">
        <v>0</v>
      </c>
      <c r="R21" s="8"/>
      <c r="S21" s="8"/>
      <c r="T21" s="8"/>
      <c r="U21" s="4">
        <v>289</v>
      </c>
      <c r="V21" s="3">
        <v>-9.1999999999999998E-2</v>
      </c>
      <c r="W21" s="3">
        <v>0</v>
      </c>
      <c r="X21" s="3">
        <v>0</v>
      </c>
      <c r="Y21" s="3">
        <v>3.3000000000000002E-2</v>
      </c>
      <c r="Z21" s="3">
        <v>3.3000000000000002E-2</v>
      </c>
      <c r="AA21" s="3">
        <v>0</v>
      </c>
      <c r="AB21" s="3">
        <v>3.3000000000000002E-2</v>
      </c>
      <c r="AC21" s="3">
        <v>3.3000000000000002E-2</v>
      </c>
      <c r="AD21" s="3">
        <v>0</v>
      </c>
      <c r="AE21" s="8"/>
      <c r="AF21" s="8"/>
      <c r="AG21" s="8"/>
      <c r="AH21" s="3">
        <v>0.28299999999999997</v>
      </c>
      <c r="AI21" s="3">
        <v>3.3000000000000002E-2</v>
      </c>
      <c r="AJ21" s="3">
        <v>0.25</v>
      </c>
      <c r="AK21" s="3">
        <v>0</v>
      </c>
      <c r="AL21" s="4">
        <v>0</v>
      </c>
    </row>
    <row r="22" spans="1:38" x14ac:dyDescent="0.25">
      <c r="A22" s="12" t="s">
        <v>37</v>
      </c>
      <c r="B22" s="12" t="s">
        <v>48</v>
      </c>
      <c r="C22" s="5" t="s">
        <v>42</v>
      </c>
      <c r="D22" s="5"/>
      <c r="E22" s="6">
        <v>0.76800000000000002</v>
      </c>
      <c r="F22" s="6">
        <v>1.6E-2</v>
      </c>
      <c r="G22" s="6">
        <v>0.68100000000000005</v>
      </c>
      <c r="H22" s="6">
        <v>0.42299999999999999</v>
      </c>
      <c r="I22" s="7">
        <v>2</v>
      </c>
      <c r="J22" s="6">
        <v>0</v>
      </c>
      <c r="K22" s="7">
        <v>189</v>
      </c>
      <c r="L22" s="7">
        <v>-1</v>
      </c>
      <c r="M22" s="7">
        <v>800</v>
      </c>
      <c r="N22" s="7">
        <v>552</v>
      </c>
      <c r="O22" s="4">
        <f t="shared" si="0"/>
        <v>248</v>
      </c>
      <c r="P22" s="6">
        <v>0.44800000000000001</v>
      </c>
      <c r="Q22" s="7">
        <v>376</v>
      </c>
      <c r="R22" s="6">
        <v>1.7150000000000001</v>
      </c>
      <c r="S22" s="7">
        <v>352.85</v>
      </c>
      <c r="T22" s="6">
        <v>1.7430000000000001</v>
      </c>
      <c r="U22" s="7">
        <v>1348</v>
      </c>
      <c r="V22" s="6">
        <v>0.16800000000000001</v>
      </c>
      <c r="W22" s="6">
        <v>1.4E-2</v>
      </c>
      <c r="X22" s="6">
        <v>0</v>
      </c>
      <c r="Y22" s="6">
        <v>4.8000000000000001E-2</v>
      </c>
      <c r="Z22" s="6">
        <v>4.7E-2</v>
      </c>
      <c r="AA22" s="6">
        <v>2E-3</v>
      </c>
      <c r="AB22" s="6">
        <v>4.8000000000000001E-2</v>
      </c>
      <c r="AC22" s="6">
        <v>4.7E-2</v>
      </c>
      <c r="AD22" s="6">
        <v>2E-3</v>
      </c>
      <c r="AE22" s="6">
        <v>0</v>
      </c>
      <c r="AF22" s="6">
        <v>0</v>
      </c>
      <c r="AG22" s="6">
        <v>0</v>
      </c>
      <c r="AH22" s="6">
        <v>0.255</v>
      </c>
      <c r="AI22" s="6">
        <v>4.7E-2</v>
      </c>
      <c r="AJ22" s="6">
        <v>0.20899999999999999</v>
      </c>
      <c r="AK22" s="6">
        <v>0</v>
      </c>
      <c r="AL22" s="7">
        <v>0</v>
      </c>
    </row>
    <row r="23" spans="1:38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0.94499999999999995</v>
      </c>
      <c r="F23" s="3">
        <v>5.0999999999999997E-2</v>
      </c>
      <c r="G23" s="3">
        <v>0.42</v>
      </c>
      <c r="H23" s="3">
        <v>0.42</v>
      </c>
      <c r="I23" s="4">
        <v>2</v>
      </c>
      <c r="J23" s="8"/>
      <c r="K23" s="4">
        <v>58</v>
      </c>
      <c r="L23" s="4">
        <v>-1</v>
      </c>
      <c r="M23" s="4">
        <v>3372</v>
      </c>
      <c r="N23" s="4">
        <v>2470</v>
      </c>
      <c r="O23" s="4">
        <f t="shared" si="0"/>
        <v>902</v>
      </c>
      <c r="P23" s="3">
        <v>0.36499999999999999</v>
      </c>
      <c r="Q23" s="4">
        <v>1038</v>
      </c>
      <c r="R23" s="8"/>
      <c r="S23" s="4">
        <v>518.79999999999995</v>
      </c>
      <c r="T23" s="8"/>
      <c r="U23" s="4">
        <v>2706</v>
      </c>
      <c r="V23" s="3">
        <v>0.158</v>
      </c>
      <c r="W23" s="3">
        <v>0</v>
      </c>
      <c r="X23" s="3">
        <v>0.55700000000000005</v>
      </c>
      <c r="Y23" s="3">
        <v>0.57199999999999995</v>
      </c>
      <c r="Z23" s="3">
        <v>0.124</v>
      </c>
      <c r="AA23" s="3">
        <v>0.44800000000000001</v>
      </c>
      <c r="AB23" s="3">
        <v>0.57199999999999995</v>
      </c>
      <c r="AC23" s="3">
        <v>0.124</v>
      </c>
      <c r="AD23" s="3">
        <v>0.44800000000000001</v>
      </c>
      <c r="AE23" s="3">
        <v>0.621</v>
      </c>
      <c r="AF23" s="8"/>
      <c r="AG23" s="8"/>
      <c r="AH23" s="3">
        <v>0.68300000000000005</v>
      </c>
      <c r="AI23" s="3">
        <v>0.124</v>
      </c>
      <c r="AJ23" s="3">
        <v>0.55900000000000005</v>
      </c>
      <c r="AK23" s="3">
        <v>0</v>
      </c>
      <c r="AL23" s="4">
        <v>0</v>
      </c>
    </row>
    <row r="24" spans="1:38" x14ac:dyDescent="0.25">
      <c r="A24" s="12" t="s">
        <v>37</v>
      </c>
      <c r="B24" s="12" t="s">
        <v>59</v>
      </c>
      <c r="C24" s="5" t="s">
        <v>42</v>
      </c>
      <c r="D24" s="5"/>
      <c r="E24" s="6">
        <v>0.94499999999999995</v>
      </c>
      <c r="F24" s="6">
        <v>5.0999999999999997E-2</v>
      </c>
      <c r="G24" s="6">
        <v>0.42</v>
      </c>
      <c r="H24" s="6">
        <v>0.42</v>
      </c>
      <c r="I24" s="7">
        <v>2</v>
      </c>
      <c r="J24" s="5"/>
      <c r="K24" s="7">
        <v>58</v>
      </c>
      <c r="L24" s="7">
        <v>-1</v>
      </c>
      <c r="M24" s="7">
        <v>3372</v>
      </c>
      <c r="N24" s="7">
        <v>2470</v>
      </c>
      <c r="O24" s="4">
        <f t="shared" si="0"/>
        <v>902</v>
      </c>
      <c r="P24" s="6">
        <v>0.36499999999999999</v>
      </c>
      <c r="Q24" s="7">
        <v>1038</v>
      </c>
      <c r="R24" s="5"/>
      <c r="S24" s="7">
        <v>518.79999999999995</v>
      </c>
      <c r="T24" s="5"/>
      <c r="U24" s="7">
        <v>2706</v>
      </c>
      <c r="V24" s="6">
        <v>0.158</v>
      </c>
      <c r="W24" s="6">
        <v>0</v>
      </c>
      <c r="X24" s="6">
        <v>0.55700000000000005</v>
      </c>
      <c r="Y24" s="6">
        <v>0.57199999999999995</v>
      </c>
      <c r="Z24" s="6">
        <v>0.124</v>
      </c>
      <c r="AA24" s="6">
        <v>0.44800000000000001</v>
      </c>
      <c r="AB24" s="6">
        <v>0.57199999999999995</v>
      </c>
      <c r="AC24" s="6">
        <v>0.124</v>
      </c>
      <c r="AD24" s="6">
        <v>0.44800000000000001</v>
      </c>
      <c r="AE24" s="6">
        <v>0.621</v>
      </c>
      <c r="AF24" s="5"/>
      <c r="AG24" s="5"/>
      <c r="AH24" s="6">
        <v>0.68300000000000005</v>
      </c>
      <c r="AI24" s="6">
        <v>0.124</v>
      </c>
      <c r="AJ24" s="6">
        <v>0.55900000000000005</v>
      </c>
      <c r="AK24" s="6">
        <v>0</v>
      </c>
      <c r="AL24" s="7">
        <v>0</v>
      </c>
    </row>
    <row r="25" spans="1:38" x14ac:dyDescent="0.25">
      <c r="A25" s="12" t="s">
        <v>37</v>
      </c>
      <c r="B25" s="5" t="s">
        <v>42</v>
      </c>
      <c r="C25" s="5"/>
      <c r="D25" s="5"/>
      <c r="E25" s="6">
        <v>1.004</v>
      </c>
      <c r="F25" s="6">
        <v>1.2999999999999999E-2</v>
      </c>
      <c r="G25" s="6">
        <v>4.3999999999999997E-2</v>
      </c>
      <c r="H25" s="6">
        <v>2.8000000000000001E-2</v>
      </c>
      <c r="I25" s="7">
        <v>46</v>
      </c>
      <c r="J25" s="6">
        <v>0.17899999999999999</v>
      </c>
      <c r="K25" s="7">
        <v>3610</v>
      </c>
      <c r="L25" s="7">
        <v>-1</v>
      </c>
      <c r="M25" s="7">
        <v>263984</v>
      </c>
      <c r="N25" s="7">
        <v>251804</v>
      </c>
      <c r="O25" s="4">
        <f t="shared" si="0"/>
        <v>12180</v>
      </c>
      <c r="P25" s="6">
        <v>4.8000000000000001E-2</v>
      </c>
      <c r="Q25" s="7">
        <v>11181</v>
      </c>
      <c r="R25" s="6">
        <v>-0.14099999999999999</v>
      </c>
      <c r="S25" s="7">
        <v>248.1</v>
      </c>
      <c r="T25" s="6">
        <v>-0.27500000000000002</v>
      </c>
      <c r="U25" s="7">
        <v>97512</v>
      </c>
      <c r="V25" s="6">
        <v>1.7999999999999999E-2</v>
      </c>
      <c r="W25" s="6">
        <v>1.2999999999999999E-2</v>
      </c>
      <c r="X25" s="6">
        <v>0.63</v>
      </c>
      <c r="Y25" s="6">
        <v>0.64</v>
      </c>
      <c r="Z25" s="6">
        <v>0.41899999999999998</v>
      </c>
      <c r="AA25" s="6">
        <v>0.221</v>
      </c>
      <c r="AB25" s="6">
        <v>0.64100000000000001</v>
      </c>
      <c r="AC25" s="6">
        <v>0.42</v>
      </c>
      <c r="AD25" s="6">
        <v>0.221</v>
      </c>
      <c r="AE25" s="6">
        <v>8.5000000000000006E-2</v>
      </c>
      <c r="AF25" s="6">
        <v>0</v>
      </c>
      <c r="AG25" s="6">
        <v>8.5000000000000006E-2</v>
      </c>
      <c r="AH25" s="6">
        <v>0.749</v>
      </c>
      <c r="AI25" s="6">
        <v>0.41899999999999998</v>
      </c>
      <c r="AJ25" s="6">
        <v>0.33</v>
      </c>
      <c r="AK25" s="6">
        <v>0</v>
      </c>
      <c r="AL25" s="7">
        <v>0</v>
      </c>
    </row>
    <row r="26" spans="1:38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0.73199999999999998</v>
      </c>
      <c r="F26" s="3">
        <v>3.4000000000000002E-2</v>
      </c>
      <c r="G26" s="3">
        <v>3.3000000000000002E-2</v>
      </c>
      <c r="H26" s="3">
        <v>0</v>
      </c>
      <c r="I26" s="4">
        <v>1</v>
      </c>
      <c r="J26" s="3">
        <v>-0.75</v>
      </c>
      <c r="K26" s="4">
        <v>85</v>
      </c>
      <c r="L26" s="4">
        <v>-2</v>
      </c>
      <c r="M26" s="4">
        <v>797</v>
      </c>
      <c r="N26" s="4">
        <v>1043</v>
      </c>
      <c r="O26" s="4">
        <f t="shared" si="0"/>
        <v>-246</v>
      </c>
      <c r="P26" s="3">
        <v>-0.23499999999999999</v>
      </c>
      <c r="Q26" s="4">
        <v>34</v>
      </c>
      <c r="R26" s="3">
        <v>-0.95099999999999996</v>
      </c>
      <c r="S26" s="4">
        <v>33.92</v>
      </c>
      <c r="T26" s="3">
        <v>-0.84799999999999998</v>
      </c>
      <c r="U26" s="4">
        <v>668</v>
      </c>
      <c r="V26" s="3">
        <v>-0.23100000000000001</v>
      </c>
      <c r="W26" s="3">
        <v>0</v>
      </c>
      <c r="X26" s="3">
        <v>0</v>
      </c>
      <c r="Y26" s="3">
        <v>0.157</v>
      </c>
      <c r="Z26" s="3">
        <v>0.157</v>
      </c>
      <c r="AA26" s="3">
        <v>0</v>
      </c>
      <c r="AB26" s="3">
        <v>0.14699999999999999</v>
      </c>
      <c r="AC26" s="3">
        <v>0.14699999999999999</v>
      </c>
      <c r="AD26" s="3">
        <v>0</v>
      </c>
      <c r="AE26" s="3">
        <v>0</v>
      </c>
      <c r="AF26" s="3">
        <v>0</v>
      </c>
      <c r="AG26" s="3">
        <v>0</v>
      </c>
      <c r="AH26" s="3">
        <v>0.35</v>
      </c>
      <c r="AI26" s="3">
        <v>0.157</v>
      </c>
      <c r="AJ26" s="3">
        <v>0.193</v>
      </c>
      <c r="AK26" s="3">
        <v>0</v>
      </c>
      <c r="AL26" s="4">
        <v>0</v>
      </c>
    </row>
    <row r="27" spans="1:38" x14ac:dyDescent="0.25">
      <c r="A27" s="12" t="s">
        <v>61</v>
      </c>
      <c r="B27" s="12" t="s">
        <v>39</v>
      </c>
      <c r="C27" s="5" t="s">
        <v>42</v>
      </c>
      <c r="D27" s="5"/>
      <c r="E27" s="6">
        <v>0.73199999999999998</v>
      </c>
      <c r="F27" s="6">
        <v>3.4000000000000002E-2</v>
      </c>
      <c r="G27" s="6">
        <v>3.3000000000000002E-2</v>
      </c>
      <c r="H27" s="6">
        <v>0</v>
      </c>
      <c r="I27" s="7">
        <v>1</v>
      </c>
      <c r="J27" s="6">
        <v>-0.75</v>
      </c>
      <c r="K27" s="7">
        <v>85</v>
      </c>
      <c r="L27" s="7">
        <v>-2</v>
      </c>
      <c r="M27" s="7">
        <v>797</v>
      </c>
      <c r="N27" s="7">
        <v>1043</v>
      </c>
      <c r="O27" s="4">
        <f t="shared" si="0"/>
        <v>-246</v>
      </c>
      <c r="P27" s="6">
        <v>-0.23499999999999999</v>
      </c>
      <c r="Q27" s="7">
        <v>34</v>
      </c>
      <c r="R27" s="6">
        <v>-0.95099999999999996</v>
      </c>
      <c r="S27" s="7">
        <v>33.92</v>
      </c>
      <c r="T27" s="6">
        <v>-0.84799999999999998</v>
      </c>
      <c r="U27" s="7">
        <v>668</v>
      </c>
      <c r="V27" s="6">
        <v>-0.23100000000000001</v>
      </c>
      <c r="W27" s="6">
        <v>0</v>
      </c>
      <c r="X27" s="6">
        <v>0</v>
      </c>
      <c r="Y27" s="6">
        <v>0.157</v>
      </c>
      <c r="Z27" s="6">
        <v>0.157</v>
      </c>
      <c r="AA27" s="6">
        <v>0</v>
      </c>
      <c r="AB27" s="6">
        <v>0.14699999999999999</v>
      </c>
      <c r="AC27" s="6">
        <v>0.14699999999999999</v>
      </c>
      <c r="AD27" s="6">
        <v>0</v>
      </c>
      <c r="AE27" s="6">
        <v>0</v>
      </c>
      <c r="AF27" s="6">
        <v>0</v>
      </c>
      <c r="AG27" s="6">
        <v>0</v>
      </c>
      <c r="AH27" s="6">
        <v>0.35</v>
      </c>
      <c r="AI27" s="6">
        <v>0.157</v>
      </c>
      <c r="AJ27" s="6">
        <v>0.193</v>
      </c>
      <c r="AK27" s="6">
        <v>0</v>
      </c>
      <c r="AL27" s="7">
        <v>0</v>
      </c>
    </row>
    <row r="28" spans="1:38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2.4889999999999999</v>
      </c>
      <c r="F28" s="3">
        <v>0</v>
      </c>
      <c r="G28" s="3">
        <v>0.83499999999999996</v>
      </c>
      <c r="H28" s="3">
        <v>0.83499999999999996</v>
      </c>
      <c r="I28" s="4">
        <v>3</v>
      </c>
      <c r="J28" s="3">
        <v>0</v>
      </c>
      <c r="K28" s="4">
        <v>65</v>
      </c>
      <c r="L28" s="4">
        <v>3</v>
      </c>
      <c r="M28" s="4">
        <v>6867</v>
      </c>
      <c r="N28" s="4">
        <v>2066</v>
      </c>
      <c r="O28" s="4">
        <f t="shared" si="0"/>
        <v>4801</v>
      </c>
      <c r="P28" s="3">
        <v>2.323</v>
      </c>
      <c r="Q28" s="4">
        <v>1725</v>
      </c>
      <c r="R28" s="3">
        <v>-0.2</v>
      </c>
      <c r="S28" s="4">
        <v>574.84</v>
      </c>
      <c r="T28" s="3">
        <v>-0.2</v>
      </c>
      <c r="U28" s="4">
        <v>2466</v>
      </c>
      <c r="V28" s="3">
        <v>-0.108</v>
      </c>
      <c r="W28" s="3">
        <v>9.4E-2</v>
      </c>
      <c r="X28" s="3">
        <v>4.2999999999999997E-2</v>
      </c>
      <c r="Y28" s="3">
        <v>9.0999999999999998E-2</v>
      </c>
      <c r="Z28" s="3">
        <v>0.58699999999999997</v>
      </c>
      <c r="AA28" s="3">
        <v>-0.496</v>
      </c>
      <c r="AB28" s="3">
        <v>5.7000000000000002E-2</v>
      </c>
      <c r="AC28" s="3">
        <v>0.55300000000000005</v>
      </c>
      <c r="AD28" s="3">
        <v>-0.496</v>
      </c>
      <c r="AE28" s="3">
        <v>0</v>
      </c>
      <c r="AF28" s="3">
        <v>0</v>
      </c>
      <c r="AG28" s="3">
        <v>0</v>
      </c>
      <c r="AH28" s="3">
        <v>0.16</v>
      </c>
      <c r="AI28" s="3">
        <v>0.58699999999999997</v>
      </c>
      <c r="AJ28" s="3">
        <v>-0.42699999999999999</v>
      </c>
      <c r="AK28" s="3">
        <v>0</v>
      </c>
      <c r="AL28" s="4">
        <v>0</v>
      </c>
    </row>
    <row r="29" spans="1:38" x14ac:dyDescent="0.25">
      <c r="A29" s="12" t="s">
        <v>61</v>
      </c>
      <c r="B29" s="12" t="s">
        <v>43</v>
      </c>
      <c r="C29" s="5" t="s">
        <v>42</v>
      </c>
      <c r="D29" s="5"/>
      <c r="E29" s="6">
        <v>2.4889999999999999</v>
      </c>
      <c r="F29" s="6">
        <v>0</v>
      </c>
      <c r="G29" s="6">
        <v>0.83499999999999996</v>
      </c>
      <c r="H29" s="6">
        <v>0.83499999999999996</v>
      </c>
      <c r="I29" s="7">
        <v>3</v>
      </c>
      <c r="J29" s="6">
        <v>0</v>
      </c>
      <c r="K29" s="7">
        <v>65</v>
      </c>
      <c r="L29" s="7">
        <v>3</v>
      </c>
      <c r="M29" s="7">
        <v>6867</v>
      </c>
      <c r="N29" s="7">
        <v>2066</v>
      </c>
      <c r="O29" s="4">
        <f t="shared" si="0"/>
        <v>4801</v>
      </c>
      <c r="P29" s="6">
        <v>2.323</v>
      </c>
      <c r="Q29" s="7">
        <v>1725</v>
      </c>
      <c r="R29" s="6">
        <v>-0.2</v>
      </c>
      <c r="S29" s="7">
        <v>574.84</v>
      </c>
      <c r="T29" s="6">
        <v>-0.2</v>
      </c>
      <c r="U29" s="7">
        <v>2466</v>
      </c>
      <c r="V29" s="6">
        <v>-0.108</v>
      </c>
      <c r="W29" s="6">
        <v>9.4E-2</v>
      </c>
      <c r="X29" s="6">
        <v>4.2999999999999997E-2</v>
      </c>
      <c r="Y29" s="6">
        <v>9.0999999999999998E-2</v>
      </c>
      <c r="Z29" s="6">
        <v>0.58699999999999997</v>
      </c>
      <c r="AA29" s="6">
        <v>-0.496</v>
      </c>
      <c r="AB29" s="6">
        <v>5.7000000000000002E-2</v>
      </c>
      <c r="AC29" s="6">
        <v>0.55300000000000005</v>
      </c>
      <c r="AD29" s="6">
        <v>-0.496</v>
      </c>
      <c r="AE29" s="6">
        <v>0</v>
      </c>
      <c r="AF29" s="6">
        <v>0</v>
      </c>
      <c r="AG29" s="6">
        <v>0</v>
      </c>
      <c r="AH29" s="6">
        <v>0.16</v>
      </c>
      <c r="AI29" s="6">
        <v>0.58699999999999997</v>
      </c>
      <c r="AJ29" s="6">
        <v>-0.42699999999999999</v>
      </c>
      <c r="AK29" s="6">
        <v>0</v>
      </c>
      <c r="AL29" s="7">
        <v>0</v>
      </c>
    </row>
    <row r="30" spans="1:38" x14ac:dyDescent="0.25">
      <c r="A30" s="12" t="s">
        <v>61</v>
      </c>
      <c r="B30" s="12" t="s">
        <v>64</v>
      </c>
      <c r="C30" s="2" t="s">
        <v>65</v>
      </c>
      <c r="D30" s="2" t="s">
        <v>65</v>
      </c>
      <c r="E30" s="3">
        <v>0.46</v>
      </c>
      <c r="F30" s="3">
        <v>0.02</v>
      </c>
      <c r="G30" s="3">
        <v>0</v>
      </c>
      <c r="H30" s="3">
        <v>0</v>
      </c>
      <c r="I30" s="4">
        <v>0</v>
      </c>
      <c r="J30" s="8"/>
      <c r="K30" s="4">
        <v>48</v>
      </c>
      <c r="L30" s="4">
        <v>-1</v>
      </c>
      <c r="M30" s="4">
        <v>226</v>
      </c>
      <c r="N30" s="4">
        <v>492</v>
      </c>
      <c r="O30" s="4">
        <f t="shared" si="0"/>
        <v>-266</v>
      </c>
      <c r="P30" s="3">
        <v>-0.54</v>
      </c>
      <c r="Q30" s="4">
        <v>0</v>
      </c>
      <c r="R30" s="8"/>
      <c r="S30" s="8"/>
      <c r="T30" s="8"/>
      <c r="U30" s="4">
        <v>4286</v>
      </c>
      <c r="V30" s="3">
        <v>-7.8E-2</v>
      </c>
      <c r="W30" s="3">
        <v>0</v>
      </c>
      <c r="X30" s="3">
        <v>0</v>
      </c>
      <c r="Y30" s="3">
        <v>1.4E-2</v>
      </c>
      <c r="Z30" s="3">
        <v>0.41799999999999998</v>
      </c>
      <c r="AA30" s="3">
        <v>-0.40400000000000003</v>
      </c>
      <c r="AB30" s="3">
        <v>0.02</v>
      </c>
      <c r="AC30" s="3">
        <v>0.42399999999999999</v>
      </c>
      <c r="AD30" s="3">
        <v>-0.40400000000000003</v>
      </c>
      <c r="AE30" s="8"/>
      <c r="AF30" s="8"/>
      <c r="AG30" s="8"/>
      <c r="AH30" s="3">
        <v>0.216</v>
      </c>
      <c r="AI30" s="3">
        <v>0.41799999999999998</v>
      </c>
      <c r="AJ30" s="3">
        <v>-0.20200000000000001</v>
      </c>
      <c r="AK30" s="3">
        <v>0</v>
      </c>
      <c r="AL30" s="4">
        <v>0</v>
      </c>
    </row>
    <row r="31" spans="1:38" x14ac:dyDescent="0.25">
      <c r="A31" s="12" t="s">
        <v>61</v>
      </c>
      <c r="B31" s="12" t="s">
        <v>64</v>
      </c>
      <c r="C31" s="5" t="s">
        <v>42</v>
      </c>
      <c r="D31" s="5"/>
      <c r="E31" s="6">
        <v>0.46</v>
      </c>
      <c r="F31" s="6">
        <v>0.02</v>
      </c>
      <c r="G31" s="6">
        <v>0</v>
      </c>
      <c r="H31" s="6">
        <v>0</v>
      </c>
      <c r="I31" s="7">
        <v>0</v>
      </c>
      <c r="J31" s="5"/>
      <c r="K31" s="7">
        <v>48</v>
      </c>
      <c r="L31" s="7">
        <v>-1</v>
      </c>
      <c r="M31" s="7">
        <v>226</v>
      </c>
      <c r="N31" s="7">
        <v>492</v>
      </c>
      <c r="O31" s="4">
        <f t="shared" si="0"/>
        <v>-266</v>
      </c>
      <c r="P31" s="6">
        <v>-0.54</v>
      </c>
      <c r="Q31" s="7">
        <v>0</v>
      </c>
      <c r="R31" s="5"/>
      <c r="S31" s="5"/>
      <c r="T31" s="5"/>
      <c r="U31" s="7">
        <v>4286</v>
      </c>
      <c r="V31" s="6">
        <v>-7.8E-2</v>
      </c>
      <c r="W31" s="6">
        <v>0</v>
      </c>
      <c r="X31" s="6">
        <v>0</v>
      </c>
      <c r="Y31" s="6">
        <v>1.4E-2</v>
      </c>
      <c r="Z31" s="6">
        <v>0.41799999999999998</v>
      </c>
      <c r="AA31" s="6">
        <v>-0.40400000000000003</v>
      </c>
      <c r="AB31" s="6">
        <v>0.02</v>
      </c>
      <c r="AC31" s="6">
        <v>0.42399999999999999</v>
      </c>
      <c r="AD31" s="6">
        <v>-0.40400000000000003</v>
      </c>
      <c r="AE31" s="5"/>
      <c r="AF31" s="5"/>
      <c r="AG31" s="5"/>
      <c r="AH31" s="6">
        <v>0.216</v>
      </c>
      <c r="AI31" s="6">
        <v>0.41799999999999998</v>
      </c>
      <c r="AJ31" s="6">
        <v>-0.20200000000000001</v>
      </c>
      <c r="AK31" s="6">
        <v>0</v>
      </c>
      <c r="AL31" s="7">
        <v>0</v>
      </c>
    </row>
    <row r="32" spans="1:38" x14ac:dyDescent="0.25">
      <c r="A32" s="12" t="s">
        <v>61</v>
      </c>
      <c r="B32" s="12" t="s">
        <v>66</v>
      </c>
      <c r="C32" s="2" t="s">
        <v>55</v>
      </c>
      <c r="D32" s="2" t="s">
        <v>67</v>
      </c>
      <c r="E32" s="3">
        <v>-9.9000000000000005E-2</v>
      </c>
      <c r="F32" s="3">
        <v>2.1000000000000001E-2</v>
      </c>
      <c r="G32" s="3">
        <v>2.2450000000000001</v>
      </c>
      <c r="H32" s="3">
        <v>2.2450000000000001</v>
      </c>
      <c r="I32" s="4">
        <v>1</v>
      </c>
      <c r="J32" s="3">
        <v>0</v>
      </c>
      <c r="K32" s="4">
        <v>48</v>
      </c>
      <c r="L32" s="4">
        <v>0</v>
      </c>
      <c r="M32" s="4">
        <v>1666</v>
      </c>
      <c r="N32" s="4">
        <v>777</v>
      </c>
      <c r="O32" s="4">
        <f t="shared" si="0"/>
        <v>889</v>
      </c>
      <c r="P32" s="3">
        <v>1.1459999999999999</v>
      </c>
      <c r="Q32" s="4">
        <v>1743</v>
      </c>
      <c r="R32" s="3">
        <v>3.8969999999999998</v>
      </c>
      <c r="S32" s="4">
        <v>1743.17</v>
      </c>
      <c r="T32" s="3">
        <v>3.8969999999999998</v>
      </c>
      <c r="U32" s="4">
        <v>4741</v>
      </c>
      <c r="V32" s="3">
        <v>-0.04</v>
      </c>
      <c r="W32" s="3">
        <v>0</v>
      </c>
      <c r="X32" s="3">
        <v>0</v>
      </c>
      <c r="Y32" s="3">
        <v>0.23599999999999999</v>
      </c>
      <c r="Z32" s="3">
        <v>0.23599999999999999</v>
      </c>
      <c r="AA32" s="3">
        <v>0</v>
      </c>
      <c r="AB32" s="3">
        <v>0.223</v>
      </c>
      <c r="AC32" s="3">
        <v>0.223</v>
      </c>
      <c r="AD32" s="3">
        <v>0</v>
      </c>
      <c r="AE32" s="3">
        <v>0</v>
      </c>
      <c r="AF32" s="3">
        <v>0</v>
      </c>
      <c r="AG32" s="3">
        <v>0</v>
      </c>
      <c r="AH32" s="3">
        <v>0.44</v>
      </c>
      <c r="AI32" s="3">
        <v>0.23599999999999999</v>
      </c>
      <c r="AJ32" s="3">
        <v>0.20399999999999999</v>
      </c>
      <c r="AK32" s="3">
        <v>0</v>
      </c>
      <c r="AL32" s="4">
        <v>0</v>
      </c>
    </row>
    <row r="33" spans="1:38" x14ac:dyDescent="0.25">
      <c r="A33" s="12" t="s">
        <v>61</v>
      </c>
      <c r="B33" s="12" t="s">
        <v>66</v>
      </c>
      <c r="C33" s="5" t="s">
        <v>42</v>
      </c>
      <c r="D33" s="5"/>
      <c r="E33" s="6">
        <v>-9.9000000000000005E-2</v>
      </c>
      <c r="F33" s="6">
        <v>2.1000000000000001E-2</v>
      </c>
      <c r="G33" s="6">
        <v>2.2450000000000001</v>
      </c>
      <c r="H33" s="6">
        <v>2.2450000000000001</v>
      </c>
      <c r="I33" s="7">
        <v>1</v>
      </c>
      <c r="J33" s="6">
        <v>0</v>
      </c>
      <c r="K33" s="7">
        <v>48</v>
      </c>
      <c r="L33" s="7">
        <v>0</v>
      </c>
      <c r="M33" s="7">
        <v>1666</v>
      </c>
      <c r="N33" s="7">
        <v>777</v>
      </c>
      <c r="O33" s="4">
        <f t="shared" si="0"/>
        <v>889</v>
      </c>
      <c r="P33" s="6">
        <v>1.1459999999999999</v>
      </c>
      <c r="Q33" s="7">
        <v>1743</v>
      </c>
      <c r="R33" s="6">
        <v>3.8969999999999998</v>
      </c>
      <c r="S33" s="7">
        <v>1743.17</v>
      </c>
      <c r="T33" s="6">
        <v>3.8969999999999998</v>
      </c>
      <c r="U33" s="7">
        <v>4741</v>
      </c>
      <c r="V33" s="6">
        <v>-0.04</v>
      </c>
      <c r="W33" s="6">
        <v>0</v>
      </c>
      <c r="X33" s="6">
        <v>0</v>
      </c>
      <c r="Y33" s="6">
        <v>0.23599999999999999</v>
      </c>
      <c r="Z33" s="6">
        <v>0.23599999999999999</v>
      </c>
      <c r="AA33" s="6">
        <v>0</v>
      </c>
      <c r="AB33" s="6">
        <v>0.223</v>
      </c>
      <c r="AC33" s="6">
        <v>0.223</v>
      </c>
      <c r="AD33" s="6">
        <v>0</v>
      </c>
      <c r="AE33" s="6">
        <v>0</v>
      </c>
      <c r="AF33" s="6">
        <v>0</v>
      </c>
      <c r="AG33" s="6">
        <v>0</v>
      </c>
      <c r="AH33" s="6">
        <v>0.44</v>
      </c>
      <c r="AI33" s="6">
        <v>0.23599999999999999</v>
      </c>
      <c r="AJ33" s="6">
        <v>0.20399999999999999</v>
      </c>
      <c r="AK33" s="6">
        <v>0</v>
      </c>
      <c r="AL33" s="7">
        <v>0</v>
      </c>
    </row>
    <row r="34" spans="1:38" x14ac:dyDescent="0.25">
      <c r="A34" s="12" t="s">
        <v>61</v>
      </c>
      <c r="B34" s="12" t="s">
        <v>68</v>
      </c>
      <c r="C34" s="2" t="s">
        <v>69</v>
      </c>
      <c r="D34" s="2" t="s">
        <v>70</v>
      </c>
      <c r="E34" s="3">
        <v>1</v>
      </c>
      <c r="F34" s="3">
        <v>0</v>
      </c>
      <c r="G34" s="3">
        <v>0</v>
      </c>
      <c r="H34" s="3">
        <v>0</v>
      </c>
      <c r="I34" s="4">
        <v>0</v>
      </c>
      <c r="J34" s="3">
        <v>-1</v>
      </c>
      <c r="K34" s="4">
        <v>14</v>
      </c>
      <c r="L34" s="4">
        <v>0</v>
      </c>
      <c r="M34" s="4">
        <v>920</v>
      </c>
      <c r="N34" s="4">
        <v>920</v>
      </c>
      <c r="O34" s="4">
        <f t="shared" si="0"/>
        <v>0</v>
      </c>
      <c r="P34" s="3">
        <v>0</v>
      </c>
      <c r="Q34" s="4">
        <v>0</v>
      </c>
      <c r="R34" s="3">
        <v>-1</v>
      </c>
      <c r="S34" s="8"/>
      <c r="T34" s="8"/>
      <c r="U34" s="4">
        <v>566</v>
      </c>
      <c r="V34" s="3">
        <v>1.7000000000000001E-2</v>
      </c>
      <c r="W34" s="3">
        <v>0</v>
      </c>
      <c r="X34" s="3">
        <v>0</v>
      </c>
      <c r="Y34" s="3">
        <v>3.7999999999999999E-2</v>
      </c>
      <c r="Z34" s="3">
        <v>3.9E-2</v>
      </c>
      <c r="AA34" s="3">
        <v>-1E-3</v>
      </c>
      <c r="AB34" s="3">
        <v>3.7999999999999999E-2</v>
      </c>
      <c r="AC34" s="3">
        <v>3.9E-2</v>
      </c>
      <c r="AD34" s="3">
        <v>0</v>
      </c>
      <c r="AE34" s="8"/>
      <c r="AF34" s="3">
        <v>0</v>
      </c>
      <c r="AG34" s="8"/>
      <c r="AH34" s="3">
        <v>0.189</v>
      </c>
      <c r="AI34" s="3">
        <v>3.9E-2</v>
      </c>
      <c r="AJ34" s="3">
        <v>0.15</v>
      </c>
      <c r="AK34" s="3">
        <v>0</v>
      </c>
      <c r="AL34" s="4">
        <v>0</v>
      </c>
    </row>
    <row r="35" spans="1:38" x14ac:dyDescent="0.25">
      <c r="A35" s="12" t="s">
        <v>61</v>
      </c>
      <c r="B35" s="12" t="s">
        <v>68</v>
      </c>
      <c r="C35" s="5" t="s">
        <v>42</v>
      </c>
      <c r="D35" s="5"/>
      <c r="E35" s="6">
        <v>1</v>
      </c>
      <c r="F35" s="6">
        <v>0</v>
      </c>
      <c r="G35" s="6">
        <v>0</v>
      </c>
      <c r="H35" s="6">
        <v>0</v>
      </c>
      <c r="I35" s="7">
        <v>0</v>
      </c>
      <c r="J35" s="6">
        <v>-1</v>
      </c>
      <c r="K35" s="7">
        <v>14</v>
      </c>
      <c r="L35" s="7">
        <v>0</v>
      </c>
      <c r="M35" s="7">
        <v>920</v>
      </c>
      <c r="N35" s="7">
        <v>920</v>
      </c>
      <c r="O35" s="4">
        <f t="shared" si="0"/>
        <v>0</v>
      </c>
      <c r="P35" s="6">
        <v>0</v>
      </c>
      <c r="Q35" s="7">
        <v>0</v>
      </c>
      <c r="R35" s="6">
        <v>-1</v>
      </c>
      <c r="S35" s="5"/>
      <c r="T35" s="5"/>
      <c r="U35" s="7">
        <v>566</v>
      </c>
      <c r="V35" s="6">
        <v>1.7000000000000001E-2</v>
      </c>
      <c r="W35" s="6">
        <v>0</v>
      </c>
      <c r="X35" s="6">
        <v>0</v>
      </c>
      <c r="Y35" s="6">
        <v>3.7999999999999999E-2</v>
      </c>
      <c r="Z35" s="6">
        <v>3.9E-2</v>
      </c>
      <c r="AA35" s="6">
        <v>-1E-3</v>
      </c>
      <c r="AB35" s="6">
        <v>3.7999999999999999E-2</v>
      </c>
      <c r="AC35" s="6">
        <v>3.9E-2</v>
      </c>
      <c r="AD35" s="6">
        <v>0</v>
      </c>
      <c r="AE35" s="5"/>
      <c r="AF35" s="6">
        <v>0</v>
      </c>
      <c r="AG35" s="5"/>
      <c r="AH35" s="6">
        <v>0.189</v>
      </c>
      <c r="AI35" s="6">
        <v>3.9E-2</v>
      </c>
      <c r="AJ35" s="6">
        <v>0.15</v>
      </c>
      <c r="AK35" s="6">
        <v>0</v>
      </c>
      <c r="AL35" s="7">
        <v>0</v>
      </c>
    </row>
    <row r="36" spans="1:38" x14ac:dyDescent="0.25">
      <c r="A36" s="12" t="s">
        <v>61</v>
      </c>
      <c r="B36" s="12" t="s">
        <v>46</v>
      </c>
      <c r="C36" s="2" t="s">
        <v>71</v>
      </c>
      <c r="D36" s="2" t="s">
        <v>71</v>
      </c>
      <c r="E36" s="3">
        <v>1.4650000000000001</v>
      </c>
      <c r="F36" s="3">
        <v>0</v>
      </c>
      <c r="G36" s="3">
        <v>0</v>
      </c>
      <c r="H36" s="3">
        <v>0</v>
      </c>
      <c r="I36" s="4">
        <v>0</v>
      </c>
      <c r="J36" s="3">
        <v>-1</v>
      </c>
      <c r="K36" s="4">
        <v>66</v>
      </c>
      <c r="L36" s="4">
        <v>0</v>
      </c>
      <c r="M36" s="4">
        <v>2281</v>
      </c>
      <c r="N36" s="4">
        <v>1557</v>
      </c>
      <c r="O36" s="4">
        <f t="shared" si="0"/>
        <v>724</v>
      </c>
      <c r="P36" s="3">
        <v>0.46500000000000002</v>
      </c>
      <c r="Q36" s="4">
        <v>0</v>
      </c>
      <c r="R36" s="3">
        <v>-1</v>
      </c>
      <c r="S36" s="8"/>
      <c r="T36" s="8"/>
      <c r="U36" s="4">
        <v>2953</v>
      </c>
      <c r="V36" s="3">
        <v>0.11700000000000001</v>
      </c>
      <c r="W36" s="3">
        <v>0</v>
      </c>
      <c r="X36" s="3">
        <v>0.499</v>
      </c>
      <c r="Y36" s="3">
        <v>0.46</v>
      </c>
      <c r="Z36" s="3">
        <v>0.19900000000000001</v>
      </c>
      <c r="AA36" s="3">
        <v>0.26100000000000001</v>
      </c>
      <c r="AB36" s="3">
        <v>0.46500000000000002</v>
      </c>
      <c r="AC36" s="3">
        <v>0.20399999999999999</v>
      </c>
      <c r="AD36" s="3">
        <v>0.26100000000000001</v>
      </c>
      <c r="AE36" s="8"/>
      <c r="AF36" s="3">
        <v>0</v>
      </c>
      <c r="AG36" s="8"/>
      <c r="AH36" s="3">
        <v>0.65800000000000003</v>
      </c>
      <c r="AI36" s="3">
        <v>0.19900000000000001</v>
      </c>
      <c r="AJ36" s="3">
        <v>0.45800000000000002</v>
      </c>
      <c r="AK36" s="3">
        <v>0</v>
      </c>
      <c r="AL36" s="4">
        <v>0</v>
      </c>
    </row>
    <row r="37" spans="1:38" x14ac:dyDescent="0.25">
      <c r="A37" s="12" t="s">
        <v>61</v>
      </c>
      <c r="B37" s="12" t="s">
        <v>46</v>
      </c>
      <c r="C37" s="2" t="s">
        <v>72</v>
      </c>
      <c r="D37" s="2" t="s">
        <v>72</v>
      </c>
      <c r="E37" s="3">
        <v>1.0049999999999999</v>
      </c>
      <c r="F37" s="3">
        <v>0</v>
      </c>
      <c r="G37" s="3">
        <v>0.65100000000000002</v>
      </c>
      <c r="H37" s="3">
        <v>0.65100000000000002</v>
      </c>
      <c r="I37" s="4">
        <v>1</v>
      </c>
      <c r="J37" s="8"/>
      <c r="K37" s="4">
        <v>32</v>
      </c>
      <c r="L37" s="4">
        <v>1</v>
      </c>
      <c r="M37" s="4">
        <v>1162</v>
      </c>
      <c r="N37" s="4">
        <v>701</v>
      </c>
      <c r="O37" s="4">
        <f t="shared" si="0"/>
        <v>461</v>
      </c>
      <c r="P37" s="3">
        <v>0.65600000000000003</v>
      </c>
      <c r="Q37" s="4">
        <v>457</v>
      </c>
      <c r="R37" s="8"/>
      <c r="S37" s="4">
        <v>456.74</v>
      </c>
      <c r="T37" s="8"/>
      <c r="U37" s="4">
        <v>652</v>
      </c>
      <c r="V37" s="3">
        <v>9.5000000000000001E-2</v>
      </c>
      <c r="W37" s="3">
        <v>0</v>
      </c>
      <c r="X37" s="3">
        <v>0.874</v>
      </c>
      <c r="Y37" s="3">
        <v>0.86499999999999999</v>
      </c>
      <c r="Z37" s="3">
        <v>0.66300000000000003</v>
      </c>
      <c r="AA37" s="3">
        <v>0.20300000000000001</v>
      </c>
      <c r="AB37" s="3">
        <v>0.86599999999999999</v>
      </c>
      <c r="AC37" s="3">
        <v>0.66300000000000003</v>
      </c>
      <c r="AD37" s="3">
        <v>0.20300000000000001</v>
      </c>
      <c r="AE37" s="3">
        <v>0</v>
      </c>
      <c r="AF37" s="8"/>
      <c r="AG37" s="8"/>
      <c r="AH37" s="3">
        <v>1.117</v>
      </c>
      <c r="AI37" s="3">
        <v>0.66300000000000003</v>
      </c>
      <c r="AJ37" s="3">
        <v>0.45400000000000001</v>
      </c>
      <c r="AK37" s="3">
        <v>0</v>
      </c>
      <c r="AL37" s="4">
        <v>0</v>
      </c>
    </row>
    <row r="38" spans="1:38" x14ac:dyDescent="0.25">
      <c r="A38" s="12" t="s">
        <v>61</v>
      </c>
      <c r="B38" s="12" t="s">
        <v>46</v>
      </c>
      <c r="C38" s="5" t="s">
        <v>42</v>
      </c>
      <c r="D38" s="5"/>
      <c r="E38" s="6">
        <v>1.3220000000000001</v>
      </c>
      <c r="F38" s="6">
        <v>0</v>
      </c>
      <c r="G38" s="6">
        <v>0.20200000000000001</v>
      </c>
      <c r="H38" s="6">
        <v>0.20200000000000001</v>
      </c>
      <c r="I38" s="7">
        <v>1</v>
      </c>
      <c r="J38" s="6">
        <v>-0.5</v>
      </c>
      <c r="K38" s="7">
        <v>98</v>
      </c>
      <c r="L38" s="7">
        <v>1</v>
      </c>
      <c r="M38" s="7">
        <v>3443</v>
      </c>
      <c r="N38" s="7">
        <v>2258</v>
      </c>
      <c r="O38" s="4">
        <f t="shared" si="0"/>
        <v>1185</v>
      </c>
      <c r="P38" s="6">
        <v>0.52400000000000002</v>
      </c>
      <c r="Q38" s="7">
        <v>457</v>
      </c>
      <c r="R38" s="6">
        <v>-0.628</v>
      </c>
      <c r="S38" s="7">
        <v>456.74</v>
      </c>
      <c r="T38" s="6">
        <v>-0.25600000000000001</v>
      </c>
      <c r="U38" s="7">
        <v>3605</v>
      </c>
      <c r="V38" s="6">
        <v>0.113</v>
      </c>
      <c r="W38" s="6">
        <v>0</v>
      </c>
      <c r="X38" s="6">
        <v>0.56699999999999995</v>
      </c>
      <c r="Y38" s="6">
        <v>0.53300000000000003</v>
      </c>
      <c r="Z38" s="6">
        <v>0.28499999999999998</v>
      </c>
      <c r="AA38" s="6">
        <v>0.249</v>
      </c>
      <c r="AB38" s="6">
        <v>0.53800000000000003</v>
      </c>
      <c r="AC38" s="6">
        <v>0.28899999999999998</v>
      </c>
      <c r="AD38" s="6">
        <v>0.249</v>
      </c>
      <c r="AE38" s="6">
        <v>0</v>
      </c>
      <c r="AF38" s="6">
        <v>0</v>
      </c>
      <c r="AG38" s="6">
        <v>0</v>
      </c>
      <c r="AH38" s="6">
        <v>0.74099999999999999</v>
      </c>
      <c r="AI38" s="6">
        <v>0.28499999999999998</v>
      </c>
      <c r="AJ38" s="6">
        <v>0.45600000000000002</v>
      </c>
      <c r="AK38" s="6">
        <v>0</v>
      </c>
      <c r="AL38" s="7">
        <v>0</v>
      </c>
    </row>
    <row r="39" spans="1:38" ht="33.75" x14ac:dyDescent="0.25">
      <c r="A39" s="12" t="s">
        <v>61</v>
      </c>
      <c r="B39" s="12" t="s">
        <v>73</v>
      </c>
      <c r="C39" s="2" t="s">
        <v>73</v>
      </c>
      <c r="D39" s="2" t="s">
        <v>74</v>
      </c>
      <c r="E39" s="3">
        <v>1.093</v>
      </c>
      <c r="F39" s="3">
        <v>0</v>
      </c>
      <c r="G39" s="3">
        <v>0</v>
      </c>
      <c r="H39" s="3">
        <v>0</v>
      </c>
      <c r="I39" s="4">
        <v>0</v>
      </c>
      <c r="J39" s="8"/>
      <c r="K39" s="4">
        <v>9</v>
      </c>
      <c r="L39" s="4">
        <v>0</v>
      </c>
      <c r="M39" s="4">
        <v>124</v>
      </c>
      <c r="N39" s="4">
        <v>113</v>
      </c>
      <c r="O39" s="4">
        <f t="shared" si="0"/>
        <v>11</v>
      </c>
      <c r="P39" s="3">
        <v>9.2999999999999999E-2</v>
      </c>
      <c r="Q39" s="4">
        <v>0</v>
      </c>
      <c r="R39" s="8"/>
      <c r="S39" s="8"/>
      <c r="T39" s="8"/>
      <c r="U39" s="4">
        <v>420</v>
      </c>
      <c r="V39" s="3">
        <v>-0.25</v>
      </c>
      <c r="W39" s="3">
        <v>0</v>
      </c>
      <c r="X39" s="3">
        <v>0</v>
      </c>
      <c r="Y39" s="3">
        <v>3.3000000000000002E-2</v>
      </c>
      <c r="Z39" s="3">
        <v>3.3000000000000002E-2</v>
      </c>
      <c r="AA39" s="3">
        <v>0</v>
      </c>
      <c r="AB39" s="3">
        <v>3.3000000000000002E-2</v>
      </c>
      <c r="AC39" s="3">
        <v>3.3000000000000002E-2</v>
      </c>
      <c r="AD39" s="3">
        <v>0</v>
      </c>
      <c r="AE39" s="8"/>
      <c r="AF39" s="8"/>
      <c r="AG39" s="8"/>
      <c r="AH39" s="3">
        <v>0.20799999999999999</v>
      </c>
      <c r="AI39" s="3">
        <v>3.3000000000000002E-2</v>
      </c>
      <c r="AJ39" s="3">
        <v>0.17499999999999999</v>
      </c>
      <c r="AK39" s="3">
        <v>0</v>
      </c>
      <c r="AL39" s="4">
        <v>0</v>
      </c>
    </row>
    <row r="40" spans="1:38" x14ac:dyDescent="0.25">
      <c r="A40" s="12" t="s">
        <v>61</v>
      </c>
      <c r="B40" s="12" t="s">
        <v>73</v>
      </c>
      <c r="C40" s="5" t="s">
        <v>42</v>
      </c>
      <c r="D40" s="5"/>
      <c r="E40" s="6">
        <v>1.093</v>
      </c>
      <c r="F40" s="6">
        <v>0</v>
      </c>
      <c r="G40" s="6">
        <v>0</v>
      </c>
      <c r="H40" s="6">
        <v>0</v>
      </c>
      <c r="I40" s="7">
        <v>0</v>
      </c>
      <c r="J40" s="5"/>
      <c r="K40" s="7">
        <v>9</v>
      </c>
      <c r="L40" s="7">
        <v>0</v>
      </c>
      <c r="M40" s="7">
        <v>124</v>
      </c>
      <c r="N40" s="7">
        <v>113</v>
      </c>
      <c r="O40" s="4">
        <f t="shared" si="0"/>
        <v>11</v>
      </c>
      <c r="P40" s="6">
        <v>9.2999999999999999E-2</v>
      </c>
      <c r="Q40" s="7">
        <v>0</v>
      </c>
      <c r="R40" s="5"/>
      <c r="S40" s="5"/>
      <c r="T40" s="5"/>
      <c r="U40" s="7">
        <v>420</v>
      </c>
      <c r="V40" s="6">
        <v>-0.25</v>
      </c>
      <c r="W40" s="6">
        <v>0</v>
      </c>
      <c r="X40" s="6">
        <v>0</v>
      </c>
      <c r="Y40" s="6">
        <v>3.3000000000000002E-2</v>
      </c>
      <c r="Z40" s="6">
        <v>3.3000000000000002E-2</v>
      </c>
      <c r="AA40" s="6">
        <v>0</v>
      </c>
      <c r="AB40" s="6">
        <v>3.3000000000000002E-2</v>
      </c>
      <c r="AC40" s="6">
        <v>3.3000000000000002E-2</v>
      </c>
      <c r="AD40" s="6">
        <v>0</v>
      </c>
      <c r="AE40" s="5"/>
      <c r="AF40" s="5"/>
      <c r="AG40" s="5"/>
      <c r="AH40" s="6">
        <v>0.20799999999999999</v>
      </c>
      <c r="AI40" s="6">
        <v>3.3000000000000002E-2</v>
      </c>
      <c r="AJ40" s="6">
        <v>0.17499999999999999</v>
      </c>
      <c r="AK40" s="6">
        <v>0</v>
      </c>
      <c r="AL40" s="7">
        <v>0</v>
      </c>
    </row>
    <row r="41" spans="1:38" x14ac:dyDescent="0.25">
      <c r="A41" s="12" t="s">
        <v>61</v>
      </c>
      <c r="B41" s="5" t="s">
        <v>42</v>
      </c>
      <c r="C41" s="5"/>
      <c r="D41" s="5"/>
      <c r="E41" s="6">
        <v>1.3149999999999999</v>
      </c>
      <c r="F41" s="6">
        <v>1.4E-2</v>
      </c>
      <c r="G41" s="6">
        <v>0.51600000000000001</v>
      </c>
      <c r="H41" s="6">
        <v>0.51200000000000001</v>
      </c>
      <c r="I41" s="7">
        <v>6</v>
      </c>
      <c r="J41" s="6">
        <v>-0.45500000000000002</v>
      </c>
      <c r="K41" s="7">
        <v>367</v>
      </c>
      <c r="L41" s="7">
        <v>1</v>
      </c>
      <c r="M41" s="7">
        <v>14044</v>
      </c>
      <c r="N41" s="7">
        <v>7670</v>
      </c>
      <c r="O41" s="4">
        <f t="shared" si="0"/>
        <v>6374</v>
      </c>
      <c r="P41" s="6">
        <v>0.83099999999999996</v>
      </c>
      <c r="Q41" s="7">
        <v>3958</v>
      </c>
      <c r="R41" s="6">
        <v>-0.17100000000000001</v>
      </c>
      <c r="S41" s="7">
        <v>659.73</v>
      </c>
      <c r="T41" s="6">
        <v>0.39200000000000002</v>
      </c>
      <c r="U41" s="7">
        <v>16754</v>
      </c>
      <c r="V41" s="6">
        <v>-4.7E-2</v>
      </c>
      <c r="W41" s="6">
        <v>1.9E-2</v>
      </c>
      <c r="X41" s="6">
        <v>0.128</v>
      </c>
      <c r="Y41" s="6">
        <v>0.20699999999999999</v>
      </c>
      <c r="Z41" s="6">
        <v>0.33200000000000002</v>
      </c>
      <c r="AA41" s="6">
        <v>-0.125</v>
      </c>
      <c r="AB41" s="6">
        <v>0.20100000000000001</v>
      </c>
      <c r="AC41" s="6">
        <v>0.32500000000000001</v>
      </c>
      <c r="AD41" s="6">
        <v>-0.124</v>
      </c>
      <c r="AE41" s="6">
        <v>0</v>
      </c>
      <c r="AF41" s="6">
        <v>0</v>
      </c>
      <c r="AG41" s="6">
        <v>0</v>
      </c>
      <c r="AH41" s="6">
        <v>0.38800000000000001</v>
      </c>
      <c r="AI41" s="6">
        <v>0.33200000000000002</v>
      </c>
      <c r="AJ41" s="6">
        <v>5.7000000000000002E-2</v>
      </c>
      <c r="AK41" s="6">
        <v>0</v>
      </c>
      <c r="AL41" s="7">
        <v>0</v>
      </c>
    </row>
    <row r="42" spans="1:38" x14ac:dyDescent="0.25">
      <c r="A42" s="2" t="s">
        <v>75</v>
      </c>
      <c r="B42" s="2" t="s">
        <v>75</v>
      </c>
      <c r="C42" s="2" t="s">
        <v>75</v>
      </c>
      <c r="D42" s="2" t="s">
        <v>75</v>
      </c>
      <c r="E42" s="6">
        <v>1.0129999999999999</v>
      </c>
      <c r="F42" s="6">
        <v>1.2999999999999999E-2</v>
      </c>
      <c r="G42" s="6">
        <v>5.8000000000000003E-2</v>
      </c>
      <c r="H42" s="6">
        <v>4.2000000000000003E-2</v>
      </c>
      <c r="I42" s="7">
        <v>52</v>
      </c>
      <c r="J42" s="6">
        <v>0.04</v>
      </c>
      <c r="K42" s="7">
        <v>3977</v>
      </c>
      <c r="L42" s="7">
        <v>0</v>
      </c>
      <c r="M42" s="7">
        <v>278028</v>
      </c>
      <c r="N42" s="7">
        <v>259474</v>
      </c>
      <c r="O42" s="4">
        <f t="shared" si="0"/>
        <v>18554</v>
      </c>
      <c r="P42" s="6">
        <v>7.1999999999999995E-2</v>
      </c>
      <c r="Q42" s="7">
        <v>15139</v>
      </c>
      <c r="R42" s="6">
        <v>-0.14899999999999999</v>
      </c>
      <c r="S42" s="7">
        <v>296.47000000000003</v>
      </c>
      <c r="T42" s="6">
        <v>-0.19800000000000001</v>
      </c>
      <c r="U42" s="7">
        <v>114266</v>
      </c>
      <c r="V42" s="6">
        <v>8.0000000000000002E-3</v>
      </c>
      <c r="W42" s="6">
        <v>1.4E-2</v>
      </c>
      <c r="X42" s="6">
        <v>0.55700000000000005</v>
      </c>
      <c r="Y42" s="6">
        <v>0.57599999999999996</v>
      </c>
      <c r="Z42" s="6">
        <v>0.40500000000000003</v>
      </c>
      <c r="AA42" s="6">
        <v>0.17100000000000001</v>
      </c>
      <c r="AB42" s="6">
        <v>0.57599999999999996</v>
      </c>
      <c r="AC42" s="6">
        <v>0.40500000000000003</v>
      </c>
      <c r="AD42" s="6">
        <v>0.17100000000000001</v>
      </c>
      <c r="AE42" s="6">
        <v>6.3E-2</v>
      </c>
      <c r="AF42" s="6">
        <v>0</v>
      </c>
      <c r="AG42" s="6">
        <v>6.3E-2</v>
      </c>
      <c r="AH42" s="6">
        <v>0.69599999999999995</v>
      </c>
      <c r="AI42" s="6">
        <v>0.40500000000000003</v>
      </c>
      <c r="AJ42" s="6">
        <v>0.29099999999999998</v>
      </c>
      <c r="AK42" s="6">
        <v>0</v>
      </c>
      <c r="AL42" s="7">
        <v>0</v>
      </c>
    </row>
    <row r="43" spans="1:38" x14ac:dyDescent="0.25">
      <c r="O43" s="4">
        <f t="shared" si="0"/>
        <v>0</v>
      </c>
    </row>
    <row r="44" spans="1:38" x14ac:dyDescent="0.25">
      <c r="A44" t="s">
        <v>76</v>
      </c>
      <c r="B44" t="s">
        <v>76</v>
      </c>
      <c r="C44" t="s">
        <v>76</v>
      </c>
    </row>
    <row r="45" spans="1:38" x14ac:dyDescent="0.25">
      <c r="A45" s="9" t="s">
        <v>80</v>
      </c>
      <c r="B45" s="9" t="s">
        <v>82</v>
      </c>
    </row>
  </sheetData>
  <mergeCells count="18">
    <mergeCell ref="B28:B29"/>
    <mergeCell ref="B30:B31"/>
    <mergeCell ref="B32:B33"/>
    <mergeCell ref="B39:B40"/>
    <mergeCell ref="C19:C20"/>
    <mergeCell ref="A4:AL4"/>
    <mergeCell ref="A5:AL5"/>
    <mergeCell ref="A7:A25"/>
    <mergeCell ref="A26:A41"/>
    <mergeCell ref="B7:B9"/>
    <mergeCell ref="B10:B11"/>
    <mergeCell ref="B12:B13"/>
    <mergeCell ref="B14:B15"/>
    <mergeCell ref="B34:B35"/>
    <mergeCell ref="B36:B38"/>
    <mergeCell ref="B16:B22"/>
    <mergeCell ref="B23:B24"/>
    <mergeCell ref="B26:B27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82B8-98BE-4113-9965-3F3E8BD96A85}">
  <dimension ref="A4:AK28"/>
  <sheetViews>
    <sheetView topLeftCell="W10" workbookViewId="0">
      <selection activeCell="Y27" sqref="Y27"/>
    </sheetView>
  </sheetViews>
  <sheetFormatPr baseColWidth="10" defaultRowHeight="15" x14ac:dyDescent="0.25"/>
  <sheetData>
    <row r="4" spans="1:37" x14ac:dyDescent="0.25">
      <c r="A4" s="10" t="s">
        <v>83</v>
      </c>
      <c r="B4" s="10" t="s">
        <v>83</v>
      </c>
      <c r="C4" s="10" t="s">
        <v>83</v>
      </c>
      <c r="D4" s="10" t="s">
        <v>83</v>
      </c>
      <c r="E4" s="10" t="s">
        <v>83</v>
      </c>
      <c r="F4" s="10" t="s">
        <v>83</v>
      </c>
      <c r="G4" s="10" t="s">
        <v>83</v>
      </c>
      <c r="H4" s="10" t="s">
        <v>83</v>
      </c>
      <c r="I4" s="10" t="s">
        <v>83</v>
      </c>
      <c r="J4" s="10" t="s">
        <v>83</v>
      </c>
      <c r="K4" s="10" t="s">
        <v>83</v>
      </c>
      <c r="L4" s="10" t="s">
        <v>83</v>
      </c>
      <c r="M4" s="10" t="s">
        <v>83</v>
      </c>
      <c r="N4" s="10" t="s">
        <v>83</v>
      </c>
      <c r="O4" s="10" t="s">
        <v>83</v>
      </c>
      <c r="P4" s="10" t="s">
        <v>83</v>
      </c>
      <c r="Q4" s="10" t="s">
        <v>83</v>
      </c>
      <c r="R4" s="10" t="s">
        <v>83</v>
      </c>
      <c r="S4" s="10" t="s">
        <v>83</v>
      </c>
      <c r="T4" s="10" t="s">
        <v>83</v>
      </c>
      <c r="U4" s="10" t="s">
        <v>83</v>
      </c>
      <c r="V4" s="10" t="s">
        <v>83</v>
      </c>
      <c r="W4" s="10" t="s">
        <v>83</v>
      </c>
      <c r="X4" s="10" t="s">
        <v>83</v>
      </c>
      <c r="Y4" s="10" t="s">
        <v>83</v>
      </c>
      <c r="Z4" s="10" t="s">
        <v>83</v>
      </c>
      <c r="AA4" s="10" t="s">
        <v>83</v>
      </c>
      <c r="AB4" s="10" t="s">
        <v>83</v>
      </c>
      <c r="AC4" s="10" t="s">
        <v>83</v>
      </c>
      <c r="AD4" s="10" t="s">
        <v>83</v>
      </c>
      <c r="AE4" s="10" t="s">
        <v>83</v>
      </c>
      <c r="AF4" s="10" t="s">
        <v>83</v>
      </c>
      <c r="AG4" s="10" t="s">
        <v>83</v>
      </c>
      <c r="AH4" s="10" t="s">
        <v>83</v>
      </c>
      <c r="AI4" s="10" t="s">
        <v>83</v>
      </c>
      <c r="AJ4" s="10" t="s">
        <v>83</v>
      </c>
      <c r="AK4" s="10" t="s">
        <v>83</v>
      </c>
    </row>
    <row r="5" spans="1:37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 t="s">
        <v>1</v>
      </c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</row>
    <row r="6" spans="1:37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27</v>
      </c>
      <c r="AD6" s="1" t="s">
        <v>30</v>
      </c>
      <c r="AE6" s="1" t="s">
        <v>31</v>
      </c>
      <c r="AF6" s="1" t="s">
        <v>27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</row>
    <row r="7" spans="1:37" x14ac:dyDescent="0.25">
      <c r="A7" s="12" t="s">
        <v>37</v>
      </c>
      <c r="B7" s="12" t="s">
        <v>43</v>
      </c>
      <c r="C7" s="2" t="s">
        <v>43</v>
      </c>
      <c r="D7" s="2" t="s">
        <v>44</v>
      </c>
      <c r="E7" s="3">
        <v>0</v>
      </c>
      <c r="F7" s="3">
        <v>0</v>
      </c>
      <c r="G7" s="3">
        <v>0</v>
      </c>
      <c r="H7" s="3">
        <v>0</v>
      </c>
      <c r="I7" s="4">
        <v>1</v>
      </c>
      <c r="J7" s="8"/>
      <c r="K7" s="4">
        <v>11</v>
      </c>
      <c r="L7" s="4">
        <v>1</v>
      </c>
      <c r="M7" s="4">
        <v>310</v>
      </c>
      <c r="N7" s="4">
        <v>0</v>
      </c>
      <c r="O7" s="8"/>
      <c r="P7" s="4">
        <v>310</v>
      </c>
      <c r="Q7" s="8"/>
      <c r="R7" s="4">
        <v>309.72000000000003</v>
      </c>
      <c r="S7" s="8"/>
      <c r="T7" s="4">
        <v>566</v>
      </c>
      <c r="U7" s="3">
        <v>-0.20399999999999999</v>
      </c>
      <c r="V7" s="3">
        <v>0</v>
      </c>
      <c r="W7" s="3">
        <v>0</v>
      </c>
      <c r="X7" s="3">
        <v>0.14099999999999999</v>
      </c>
      <c r="Y7" s="3">
        <v>0.14099999999999999</v>
      </c>
      <c r="Z7" s="3">
        <v>0</v>
      </c>
      <c r="AA7" s="3">
        <v>0.14099999999999999</v>
      </c>
      <c r="AB7" s="3">
        <v>0.14099999999999999</v>
      </c>
      <c r="AC7" s="3">
        <v>0</v>
      </c>
      <c r="AD7" s="3">
        <v>0</v>
      </c>
      <c r="AE7" s="8"/>
      <c r="AF7" s="8"/>
      <c r="AG7" s="3">
        <v>0.23499999999999999</v>
      </c>
      <c r="AH7" s="3">
        <v>0.24099999999999999</v>
      </c>
      <c r="AI7" s="3">
        <v>-6.0000000000000001E-3</v>
      </c>
      <c r="AJ7" s="3">
        <v>0.40910000000000002</v>
      </c>
      <c r="AK7" s="4">
        <v>334</v>
      </c>
    </row>
    <row r="8" spans="1:37" x14ac:dyDescent="0.25">
      <c r="A8" s="12" t="s">
        <v>37</v>
      </c>
      <c r="B8" s="12" t="s">
        <v>43</v>
      </c>
      <c r="C8" s="5" t="s">
        <v>42</v>
      </c>
      <c r="D8" s="5"/>
      <c r="E8" s="6">
        <v>0</v>
      </c>
      <c r="F8" s="6">
        <v>0</v>
      </c>
      <c r="G8" s="6">
        <v>0</v>
      </c>
      <c r="H8" s="6">
        <v>0</v>
      </c>
      <c r="I8" s="7">
        <v>1</v>
      </c>
      <c r="J8" s="5"/>
      <c r="K8" s="7">
        <v>11</v>
      </c>
      <c r="L8" s="7">
        <v>1</v>
      </c>
      <c r="M8" s="7">
        <v>310</v>
      </c>
      <c r="N8" s="7">
        <v>0</v>
      </c>
      <c r="O8" s="5"/>
      <c r="P8" s="7">
        <v>310</v>
      </c>
      <c r="Q8" s="5"/>
      <c r="R8" s="7">
        <v>309.72000000000003</v>
      </c>
      <c r="S8" s="5"/>
      <c r="T8" s="7">
        <v>566</v>
      </c>
      <c r="U8" s="6">
        <v>-0.20399999999999999</v>
      </c>
      <c r="V8" s="6">
        <v>0</v>
      </c>
      <c r="W8" s="6">
        <v>0</v>
      </c>
      <c r="X8" s="6">
        <v>0.14099999999999999</v>
      </c>
      <c r="Y8" s="6">
        <v>0.14099999999999999</v>
      </c>
      <c r="Z8" s="6">
        <v>0</v>
      </c>
      <c r="AA8" s="6">
        <v>0.14099999999999999</v>
      </c>
      <c r="AB8" s="6">
        <v>0.14099999999999999</v>
      </c>
      <c r="AC8" s="6">
        <v>0</v>
      </c>
      <c r="AD8" s="6">
        <v>0</v>
      </c>
      <c r="AE8" s="5"/>
      <c r="AF8" s="5"/>
      <c r="AG8" s="6">
        <v>0.23499999999999999</v>
      </c>
      <c r="AH8" s="6">
        <v>0.24099999999999999</v>
      </c>
      <c r="AI8" s="6">
        <v>-6.0000000000000001E-3</v>
      </c>
      <c r="AJ8" s="6">
        <v>0.40910000000000002</v>
      </c>
      <c r="AK8" s="7">
        <v>334</v>
      </c>
    </row>
    <row r="9" spans="1:37" x14ac:dyDescent="0.25">
      <c r="A9" s="12" t="s">
        <v>37</v>
      </c>
      <c r="B9" s="12" t="s">
        <v>45</v>
      </c>
      <c r="C9" s="2" t="s">
        <v>45</v>
      </c>
      <c r="D9" s="2" t="s">
        <v>45</v>
      </c>
      <c r="E9" s="3">
        <v>0.314</v>
      </c>
      <c r="F9" s="3">
        <v>0</v>
      </c>
      <c r="G9" s="3">
        <v>0</v>
      </c>
      <c r="H9" s="3">
        <v>0</v>
      </c>
      <c r="I9" s="4">
        <v>0</v>
      </c>
      <c r="J9" s="8"/>
      <c r="K9" s="4">
        <v>6</v>
      </c>
      <c r="L9" s="4">
        <v>0</v>
      </c>
      <c r="M9" s="4">
        <v>73</v>
      </c>
      <c r="N9" s="4">
        <v>234</v>
      </c>
      <c r="O9" s="3">
        <v>-0.68600000000000005</v>
      </c>
      <c r="P9" s="4">
        <v>0</v>
      </c>
      <c r="Q9" s="8"/>
      <c r="R9" s="8"/>
      <c r="S9" s="8"/>
      <c r="T9" s="4">
        <v>106</v>
      </c>
      <c r="U9" s="3">
        <v>-0.25900000000000001</v>
      </c>
      <c r="V9" s="3">
        <v>0</v>
      </c>
      <c r="W9" s="3">
        <v>0</v>
      </c>
      <c r="X9" s="3">
        <v>0.14599999999999999</v>
      </c>
      <c r="Y9" s="3">
        <v>0.14599999999999999</v>
      </c>
      <c r="Z9" s="3">
        <v>0</v>
      </c>
      <c r="AA9" s="3">
        <v>0.14599999999999999</v>
      </c>
      <c r="AB9" s="3">
        <v>0.14599999999999999</v>
      </c>
      <c r="AC9" s="3">
        <v>0</v>
      </c>
      <c r="AD9" s="8"/>
      <c r="AE9" s="8"/>
      <c r="AF9" s="8"/>
      <c r="AG9" s="3">
        <v>0.39200000000000002</v>
      </c>
      <c r="AH9" s="3">
        <v>0.39600000000000002</v>
      </c>
      <c r="AI9" s="3">
        <v>-3.0000000000000001E-3</v>
      </c>
      <c r="AJ9" s="3">
        <v>0.55800000000000005</v>
      </c>
      <c r="AK9" s="4">
        <v>47</v>
      </c>
    </row>
    <row r="10" spans="1:37" x14ac:dyDescent="0.25">
      <c r="A10" s="12" t="s">
        <v>37</v>
      </c>
      <c r="B10" s="12" t="s">
        <v>45</v>
      </c>
      <c r="C10" s="5" t="s">
        <v>42</v>
      </c>
      <c r="D10" s="5"/>
      <c r="E10" s="6">
        <v>0.314</v>
      </c>
      <c r="F10" s="6">
        <v>0</v>
      </c>
      <c r="G10" s="6">
        <v>0</v>
      </c>
      <c r="H10" s="6">
        <v>0</v>
      </c>
      <c r="I10" s="7">
        <v>0</v>
      </c>
      <c r="J10" s="5"/>
      <c r="K10" s="7">
        <v>6</v>
      </c>
      <c r="L10" s="7">
        <v>0</v>
      </c>
      <c r="M10" s="7">
        <v>73</v>
      </c>
      <c r="N10" s="7">
        <v>234</v>
      </c>
      <c r="O10" s="6">
        <v>-0.68600000000000005</v>
      </c>
      <c r="P10" s="7">
        <v>0</v>
      </c>
      <c r="Q10" s="5"/>
      <c r="R10" s="5"/>
      <c r="S10" s="5"/>
      <c r="T10" s="7">
        <v>106</v>
      </c>
      <c r="U10" s="6">
        <v>-0.25900000000000001</v>
      </c>
      <c r="V10" s="6">
        <v>0</v>
      </c>
      <c r="W10" s="6">
        <v>0</v>
      </c>
      <c r="X10" s="6">
        <v>0.14599999999999999</v>
      </c>
      <c r="Y10" s="6">
        <v>0.14599999999999999</v>
      </c>
      <c r="Z10" s="6">
        <v>0</v>
      </c>
      <c r="AA10" s="6">
        <v>0.14599999999999999</v>
      </c>
      <c r="AB10" s="6">
        <v>0.14599999999999999</v>
      </c>
      <c r="AC10" s="6">
        <v>0</v>
      </c>
      <c r="AD10" s="5"/>
      <c r="AE10" s="5"/>
      <c r="AF10" s="5"/>
      <c r="AG10" s="6">
        <v>0.39200000000000002</v>
      </c>
      <c r="AH10" s="6">
        <v>0.39600000000000002</v>
      </c>
      <c r="AI10" s="6">
        <v>-3.0000000000000001E-3</v>
      </c>
      <c r="AJ10" s="6">
        <v>0.55800000000000005</v>
      </c>
      <c r="AK10" s="7">
        <v>47</v>
      </c>
    </row>
    <row r="11" spans="1:37" ht="22.5" x14ac:dyDescent="0.25">
      <c r="A11" s="12" t="s">
        <v>37</v>
      </c>
      <c r="B11" s="12" t="s">
        <v>46</v>
      </c>
      <c r="C11" s="2" t="s">
        <v>47</v>
      </c>
      <c r="D11" s="2" t="s">
        <v>47</v>
      </c>
      <c r="E11" s="3">
        <v>0</v>
      </c>
      <c r="F11" s="3">
        <v>0</v>
      </c>
      <c r="G11" s="3">
        <v>0</v>
      </c>
      <c r="H11" s="3">
        <v>0</v>
      </c>
      <c r="I11" s="4">
        <v>0</v>
      </c>
      <c r="J11" s="8"/>
      <c r="K11" s="4">
        <v>1</v>
      </c>
      <c r="L11" s="4">
        <v>0</v>
      </c>
      <c r="M11" s="4">
        <v>0</v>
      </c>
      <c r="N11" s="4">
        <v>0</v>
      </c>
      <c r="O11" s="8"/>
      <c r="P11" s="4">
        <v>0</v>
      </c>
      <c r="Q11" s="8"/>
      <c r="R11" s="8"/>
      <c r="S11" s="8"/>
      <c r="T11" s="4">
        <v>276</v>
      </c>
      <c r="U11" s="3">
        <v>0.14699999999999999</v>
      </c>
      <c r="V11" s="3">
        <v>0</v>
      </c>
      <c r="W11" s="3">
        <v>0</v>
      </c>
      <c r="X11" s="3">
        <v>0.20799999999999999</v>
      </c>
      <c r="Y11" s="3">
        <v>0.20799999999999999</v>
      </c>
      <c r="Z11" s="3">
        <v>0</v>
      </c>
      <c r="AA11" s="3">
        <v>0.20799999999999999</v>
      </c>
      <c r="AB11" s="3">
        <v>0.20799999999999999</v>
      </c>
      <c r="AC11" s="3">
        <v>0</v>
      </c>
      <c r="AD11" s="8"/>
      <c r="AE11" s="8"/>
      <c r="AF11" s="8"/>
      <c r="AG11" s="3">
        <v>0.40799999999999997</v>
      </c>
      <c r="AH11" s="3">
        <v>0.40799999999999997</v>
      </c>
      <c r="AI11" s="3">
        <v>0</v>
      </c>
      <c r="AJ11" s="3">
        <v>0.5927</v>
      </c>
      <c r="AK11" s="4">
        <v>112</v>
      </c>
    </row>
    <row r="12" spans="1:37" x14ac:dyDescent="0.25">
      <c r="A12" s="12" t="s">
        <v>37</v>
      </c>
      <c r="B12" s="12" t="s">
        <v>46</v>
      </c>
      <c r="C12" s="5" t="s">
        <v>42</v>
      </c>
      <c r="D12" s="5"/>
      <c r="E12" s="6">
        <v>0</v>
      </c>
      <c r="F12" s="6">
        <v>0</v>
      </c>
      <c r="G12" s="6">
        <v>0</v>
      </c>
      <c r="H12" s="6">
        <v>0</v>
      </c>
      <c r="I12" s="7">
        <v>0</v>
      </c>
      <c r="J12" s="5"/>
      <c r="K12" s="7">
        <v>1</v>
      </c>
      <c r="L12" s="7">
        <v>0</v>
      </c>
      <c r="M12" s="7">
        <v>0</v>
      </c>
      <c r="N12" s="7">
        <v>0</v>
      </c>
      <c r="O12" s="5"/>
      <c r="P12" s="7">
        <v>0</v>
      </c>
      <c r="Q12" s="5"/>
      <c r="R12" s="5"/>
      <c r="S12" s="5"/>
      <c r="T12" s="7">
        <v>276</v>
      </c>
      <c r="U12" s="6">
        <v>0.14699999999999999</v>
      </c>
      <c r="V12" s="6">
        <v>0</v>
      </c>
      <c r="W12" s="6">
        <v>0</v>
      </c>
      <c r="X12" s="6">
        <v>0.20799999999999999</v>
      </c>
      <c r="Y12" s="6">
        <v>0.20799999999999999</v>
      </c>
      <c r="Z12" s="6">
        <v>0</v>
      </c>
      <c r="AA12" s="6">
        <v>0.20799999999999999</v>
      </c>
      <c r="AB12" s="6">
        <v>0.20799999999999999</v>
      </c>
      <c r="AC12" s="6">
        <v>0</v>
      </c>
      <c r="AD12" s="5"/>
      <c r="AE12" s="5"/>
      <c r="AF12" s="5"/>
      <c r="AG12" s="6">
        <v>0.40799999999999997</v>
      </c>
      <c r="AH12" s="6">
        <v>0.40799999999999997</v>
      </c>
      <c r="AI12" s="6">
        <v>0</v>
      </c>
      <c r="AJ12" s="6">
        <v>0.5927</v>
      </c>
      <c r="AK12" s="7">
        <v>112</v>
      </c>
    </row>
    <row r="13" spans="1:37" x14ac:dyDescent="0.25">
      <c r="A13" s="12" t="s">
        <v>37</v>
      </c>
      <c r="B13" s="12" t="s">
        <v>48</v>
      </c>
      <c r="C13" s="2" t="s">
        <v>55</v>
      </c>
      <c r="D13" s="2" t="s">
        <v>56</v>
      </c>
      <c r="E13" s="3">
        <v>0</v>
      </c>
      <c r="F13" s="3">
        <v>0</v>
      </c>
      <c r="G13" s="3">
        <v>0</v>
      </c>
      <c r="H13" s="3">
        <v>0</v>
      </c>
      <c r="I13" s="4">
        <v>0</v>
      </c>
      <c r="J13" s="8"/>
      <c r="K13" s="4">
        <v>1</v>
      </c>
      <c r="L13" s="4">
        <v>0</v>
      </c>
      <c r="M13" s="4">
        <v>0</v>
      </c>
      <c r="N13" s="4">
        <v>0</v>
      </c>
      <c r="O13" s="8"/>
      <c r="P13" s="4">
        <v>0</v>
      </c>
      <c r="Q13" s="8"/>
      <c r="R13" s="8"/>
      <c r="S13" s="8"/>
      <c r="T13" s="4">
        <v>2</v>
      </c>
      <c r="U13" s="3">
        <v>0</v>
      </c>
      <c r="V13" s="3">
        <v>0</v>
      </c>
      <c r="W13" s="3">
        <v>0</v>
      </c>
      <c r="X13" s="3">
        <v>4.8000000000000001E-2</v>
      </c>
      <c r="Y13" s="3">
        <v>4.8000000000000001E-2</v>
      </c>
      <c r="Z13" s="3">
        <v>0</v>
      </c>
      <c r="AA13" s="3">
        <v>4.8000000000000001E-2</v>
      </c>
      <c r="AB13" s="3">
        <v>4.8000000000000001E-2</v>
      </c>
      <c r="AC13" s="3">
        <v>0</v>
      </c>
      <c r="AD13" s="8"/>
      <c r="AE13" s="8"/>
      <c r="AF13" s="8"/>
      <c r="AG13" s="3">
        <v>0.29599999999999999</v>
      </c>
      <c r="AH13" s="3">
        <v>0.29599999999999999</v>
      </c>
      <c r="AI13" s="3">
        <v>0</v>
      </c>
      <c r="AJ13" s="3">
        <v>0.45250000000000001</v>
      </c>
      <c r="AK13" s="4">
        <v>1</v>
      </c>
    </row>
    <row r="14" spans="1:37" x14ac:dyDescent="0.25">
      <c r="A14" s="12" t="s">
        <v>37</v>
      </c>
      <c r="B14" s="12" t="s">
        <v>48</v>
      </c>
      <c r="C14" s="5" t="s">
        <v>42</v>
      </c>
      <c r="D14" s="5"/>
      <c r="E14" s="6">
        <v>0</v>
      </c>
      <c r="F14" s="6">
        <v>0</v>
      </c>
      <c r="G14" s="6">
        <v>0</v>
      </c>
      <c r="H14" s="6">
        <v>0</v>
      </c>
      <c r="I14" s="7">
        <v>0</v>
      </c>
      <c r="J14" s="5"/>
      <c r="K14" s="7">
        <v>1</v>
      </c>
      <c r="L14" s="7">
        <v>0</v>
      </c>
      <c r="M14" s="7">
        <v>0</v>
      </c>
      <c r="N14" s="7">
        <v>0</v>
      </c>
      <c r="O14" s="5"/>
      <c r="P14" s="7">
        <v>0</v>
      </c>
      <c r="Q14" s="5"/>
      <c r="R14" s="5"/>
      <c r="S14" s="5"/>
      <c r="T14" s="7">
        <v>2</v>
      </c>
      <c r="U14" s="6">
        <v>0</v>
      </c>
      <c r="V14" s="6">
        <v>0</v>
      </c>
      <c r="W14" s="6">
        <v>0</v>
      </c>
      <c r="X14" s="6">
        <v>4.8000000000000001E-2</v>
      </c>
      <c r="Y14" s="6">
        <v>4.8000000000000001E-2</v>
      </c>
      <c r="Z14" s="6">
        <v>0</v>
      </c>
      <c r="AA14" s="6">
        <v>4.8000000000000001E-2</v>
      </c>
      <c r="AB14" s="6">
        <v>4.8000000000000001E-2</v>
      </c>
      <c r="AC14" s="6">
        <v>0</v>
      </c>
      <c r="AD14" s="5"/>
      <c r="AE14" s="5"/>
      <c r="AF14" s="5"/>
      <c r="AG14" s="6">
        <v>0.29599999999999999</v>
      </c>
      <c r="AH14" s="6">
        <v>0.29599999999999999</v>
      </c>
      <c r="AI14" s="6">
        <v>0</v>
      </c>
      <c r="AJ14" s="6">
        <v>0.45250000000000001</v>
      </c>
      <c r="AK14" s="7">
        <v>1</v>
      </c>
    </row>
    <row r="15" spans="1:37" x14ac:dyDescent="0.25">
      <c r="A15" s="12" t="s">
        <v>37</v>
      </c>
      <c r="B15" s="12" t="s">
        <v>59</v>
      </c>
      <c r="C15" s="2" t="s">
        <v>59</v>
      </c>
      <c r="D15" s="2" t="s">
        <v>60</v>
      </c>
      <c r="E15" s="3">
        <v>0</v>
      </c>
      <c r="F15" s="3">
        <v>0</v>
      </c>
      <c r="G15" s="3">
        <v>0</v>
      </c>
      <c r="H15" s="3">
        <v>0</v>
      </c>
      <c r="I15" s="4">
        <v>0</v>
      </c>
      <c r="J15" s="8"/>
      <c r="K15" s="4">
        <v>0</v>
      </c>
      <c r="L15" s="4">
        <v>0</v>
      </c>
      <c r="M15" s="4">
        <v>0</v>
      </c>
      <c r="N15" s="4">
        <v>0</v>
      </c>
      <c r="O15" s="3">
        <v>-1</v>
      </c>
      <c r="P15" s="4">
        <v>0</v>
      </c>
      <c r="Q15" s="8"/>
      <c r="R15" s="8"/>
      <c r="S15" s="8"/>
      <c r="T15" s="4">
        <v>0</v>
      </c>
      <c r="U15" s="3">
        <v>-1</v>
      </c>
      <c r="V15" s="3">
        <v>0</v>
      </c>
      <c r="W15" s="8"/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8"/>
      <c r="AE15" s="8"/>
      <c r="AF15" s="3">
        <v>0</v>
      </c>
      <c r="AG15" s="3">
        <v>0</v>
      </c>
      <c r="AH15" s="3">
        <v>0</v>
      </c>
      <c r="AI15" s="3">
        <v>0</v>
      </c>
      <c r="AJ15" s="8"/>
      <c r="AK15" s="4">
        <v>0</v>
      </c>
    </row>
    <row r="16" spans="1:37" x14ac:dyDescent="0.25">
      <c r="A16" s="12" t="s">
        <v>37</v>
      </c>
      <c r="B16" s="12" t="s">
        <v>59</v>
      </c>
      <c r="C16" s="5" t="s">
        <v>42</v>
      </c>
      <c r="D16" s="5"/>
      <c r="E16" s="6">
        <v>0</v>
      </c>
      <c r="F16" s="6">
        <v>0</v>
      </c>
      <c r="G16" s="6">
        <v>0</v>
      </c>
      <c r="H16" s="6">
        <v>0</v>
      </c>
      <c r="I16" s="7">
        <v>0</v>
      </c>
      <c r="J16" s="5"/>
      <c r="K16" s="7">
        <v>0</v>
      </c>
      <c r="L16" s="7">
        <v>0</v>
      </c>
      <c r="M16" s="7">
        <v>0</v>
      </c>
      <c r="N16" s="7">
        <v>0</v>
      </c>
      <c r="O16" s="6">
        <v>-1</v>
      </c>
      <c r="P16" s="7">
        <v>0</v>
      </c>
      <c r="Q16" s="5"/>
      <c r="R16" s="5"/>
      <c r="S16" s="5"/>
      <c r="T16" s="7">
        <v>0</v>
      </c>
      <c r="U16" s="6">
        <v>-1</v>
      </c>
      <c r="V16" s="6">
        <v>0</v>
      </c>
      <c r="W16" s="5"/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5"/>
      <c r="AE16" s="5"/>
      <c r="AF16" s="6">
        <v>0</v>
      </c>
      <c r="AG16" s="6">
        <v>0</v>
      </c>
      <c r="AH16" s="6">
        <v>0</v>
      </c>
      <c r="AI16" s="6">
        <v>0</v>
      </c>
      <c r="AJ16" s="5"/>
      <c r="AK16" s="7">
        <v>0</v>
      </c>
    </row>
    <row r="17" spans="1:37" x14ac:dyDescent="0.25">
      <c r="A17" s="12" t="s">
        <v>37</v>
      </c>
      <c r="B17" s="5" t="s">
        <v>42</v>
      </c>
      <c r="C17" s="5"/>
      <c r="D17" s="5"/>
      <c r="E17" s="6">
        <v>0.314</v>
      </c>
      <c r="F17" s="6">
        <v>0</v>
      </c>
      <c r="G17" s="6">
        <v>1.3240000000000001</v>
      </c>
      <c r="H17" s="6">
        <v>0</v>
      </c>
      <c r="I17" s="7">
        <v>1</v>
      </c>
      <c r="J17" s="5"/>
      <c r="K17" s="7">
        <v>19</v>
      </c>
      <c r="L17" s="7">
        <v>1</v>
      </c>
      <c r="M17" s="7">
        <v>383</v>
      </c>
      <c r="N17" s="7">
        <v>234</v>
      </c>
      <c r="O17" s="6">
        <v>0.63800000000000001</v>
      </c>
      <c r="P17" s="7">
        <v>310</v>
      </c>
      <c r="Q17" s="5"/>
      <c r="R17" s="7">
        <v>309.72000000000003</v>
      </c>
      <c r="S17" s="5"/>
      <c r="T17" s="7">
        <v>950</v>
      </c>
      <c r="U17" s="6">
        <v>-0.24299999999999999</v>
      </c>
      <c r="V17" s="6">
        <v>0</v>
      </c>
      <c r="W17" s="6">
        <v>0</v>
      </c>
      <c r="X17" s="6">
        <v>0.161</v>
      </c>
      <c r="Y17" s="6">
        <v>0.155</v>
      </c>
      <c r="Z17" s="6">
        <v>6.0000000000000001E-3</v>
      </c>
      <c r="AA17" s="6">
        <v>0.161</v>
      </c>
      <c r="AB17" s="6">
        <v>0.155</v>
      </c>
      <c r="AC17" s="6">
        <v>6.0000000000000001E-3</v>
      </c>
      <c r="AD17" s="6">
        <v>0</v>
      </c>
      <c r="AE17" s="5"/>
      <c r="AF17" s="5"/>
      <c r="AG17" s="6">
        <v>0.30299999999999999</v>
      </c>
      <c r="AH17" s="6">
        <v>0.28699999999999998</v>
      </c>
      <c r="AI17" s="6">
        <v>1.6E-2</v>
      </c>
      <c r="AJ17" s="6">
        <v>0.47910000000000003</v>
      </c>
      <c r="AK17" s="7">
        <v>495</v>
      </c>
    </row>
    <row r="18" spans="1:37" x14ac:dyDescent="0.25">
      <c r="A18" s="12" t="s">
        <v>61</v>
      </c>
      <c r="B18" s="12" t="s">
        <v>64</v>
      </c>
      <c r="C18" s="2" t="s">
        <v>65</v>
      </c>
      <c r="D18" s="2" t="s">
        <v>65</v>
      </c>
      <c r="E18" s="3">
        <v>1.014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2</v>
      </c>
      <c r="L18" s="4">
        <v>0</v>
      </c>
      <c r="M18" s="4">
        <v>-25</v>
      </c>
      <c r="N18" s="4">
        <v>-25</v>
      </c>
      <c r="O18" s="3">
        <v>1.4E-2</v>
      </c>
      <c r="P18" s="4">
        <v>0</v>
      </c>
      <c r="Q18" s="8"/>
      <c r="R18" s="8"/>
      <c r="S18" s="8"/>
      <c r="T18" s="4">
        <v>1015</v>
      </c>
      <c r="U18" s="3">
        <v>4.1000000000000002E-2</v>
      </c>
      <c r="V18" s="3">
        <v>0</v>
      </c>
      <c r="W18" s="3">
        <v>0.88700000000000001</v>
      </c>
      <c r="X18" s="3">
        <v>1.105</v>
      </c>
      <c r="Y18" s="3">
        <v>0.218</v>
      </c>
      <c r="Z18" s="3">
        <v>0.88700000000000001</v>
      </c>
      <c r="AA18" s="3">
        <v>1.105</v>
      </c>
      <c r="AB18" s="3">
        <v>0.218</v>
      </c>
      <c r="AC18" s="3">
        <v>0.88700000000000001</v>
      </c>
      <c r="AD18" s="8"/>
      <c r="AE18" s="8"/>
      <c r="AF18" s="8"/>
      <c r="AG18" s="3">
        <v>1.3049999999999999</v>
      </c>
      <c r="AH18" s="3">
        <v>0.41799999999999998</v>
      </c>
      <c r="AI18" s="3">
        <v>0.88700000000000001</v>
      </c>
      <c r="AJ18" s="3">
        <v>1.4281999999999999</v>
      </c>
      <c r="AK18" s="4">
        <v>-435</v>
      </c>
    </row>
    <row r="19" spans="1:37" x14ac:dyDescent="0.25">
      <c r="A19" s="12" t="s">
        <v>61</v>
      </c>
      <c r="B19" s="12" t="s">
        <v>64</v>
      </c>
      <c r="C19" s="5" t="s">
        <v>42</v>
      </c>
      <c r="D19" s="5"/>
      <c r="E19" s="6">
        <v>1.014</v>
      </c>
      <c r="F19" s="6">
        <v>0</v>
      </c>
      <c r="G19" s="6">
        <v>0</v>
      </c>
      <c r="H19" s="6">
        <v>0</v>
      </c>
      <c r="I19" s="7">
        <v>0</v>
      </c>
      <c r="J19" s="5"/>
      <c r="K19" s="7">
        <v>2</v>
      </c>
      <c r="L19" s="7">
        <v>0</v>
      </c>
      <c r="M19" s="7">
        <v>-25</v>
      </c>
      <c r="N19" s="7">
        <v>-25</v>
      </c>
      <c r="O19" s="6">
        <v>1.4E-2</v>
      </c>
      <c r="P19" s="7">
        <v>0</v>
      </c>
      <c r="Q19" s="5"/>
      <c r="R19" s="5"/>
      <c r="S19" s="5"/>
      <c r="T19" s="7">
        <v>1015</v>
      </c>
      <c r="U19" s="6">
        <v>4.1000000000000002E-2</v>
      </c>
      <c r="V19" s="6">
        <v>0</v>
      </c>
      <c r="W19" s="6">
        <v>0.88700000000000001</v>
      </c>
      <c r="X19" s="6">
        <v>1.105</v>
      </c>
      <c r="Y19" s="6">
        <v>0.218</v>
      </c>
      <c r="Z19" s="6">
        <v>0.88700000000000001</v>
      </c>
      <c r="AA19" s="6">
        <v>1.105</v>
      </c>
      <c r="AB19" s="6">
        <v>0.218</v>
      </c>
      <c r="AC19" s="6">
        <v>0.88700000000000001</v>
      </c>
      <c r="AD19" s="5"/>
      <c r="AE19" s="5"/>
      <c r="AF19" s="5"/>
      <c r="AG19" s="6">
        <v>1.3049999999999999</v>
      </c>
      <c r="AH19" s="6">
        <v>0.41799999999999998</v>
      </c>
      <c r="AI19" s="6">
        <v>0.88700000000000001</v>
      </c>
      <c r="AJ19" s="6">
        <v>1.4281999999999999</v>
      </c>
      <c r="AK19" s="7">
        <v>-435</v>
      </c>
    </row>
    <row r="20" spans="1:37" x14ac:dyDescent="0.25">
      <c r="A20" s="12" t="s">
        <v>61</v>
      </c>
      <c r="B20" s="12" t="s">
        <v>66</v>
      </c>
      <c r="C20" s="2" t="s">
        <v>55</v>
      </c>
      <c r="D20" s="2" t="s">
        <v>67</v>
      </c>
      <c r="E20" s="3">
        <v>0</v>
      </c>
      <c r="F20" s="3">
        <v>0</v>
      </c>
      <c r="G20" s="3">
        <v>0</v>
      </c>
      <c r="H20" s="3">
        <v>0</v>
      </c>
      <c r="I20" s="4">
        <v>0</v>
      </c>
      <c r="J20" s="8"/>
      <c r="K20" s="4">
        <v>1</v>
      </c>
      <c r="L20" s="4">
        <v>0</v>
      </c>
      <c r="M20" s="4">
        <v>0</v>
      </c>
      <c r="N20" s="4">
        <v>0</v>
      </c>
      <c r="O20" s="8"/>
      <c r="P20" s="4">
        <v>0</v>
      </c>
      <c r="Q20" s="8"/>
      <c r="R20" s="8"/>
      <c r="S20" s="8"/>
      <c r="T20" s="4">
        <v>179</v>
      </c>
      <c r="U20" s="3">
        <v>-0.122</v>
      </c>
      <c r="V20" s="3">
        <v>0</v>
      </c>
      <c r="W20" s="3">
        <v>0</v>
      </c>
      <c r="X20" s="3">
        <v>0.42699999999999999</v>
      </c>
      <c r="Y20" s="3">
        <v>0.42699999999999999</v>
      </c>
      <c r="Z20" s="3">
        <v>0</v>
      </c>
      <c r="AA20" s="3">
        <v>0.42699999999999999</v>
      </c>
      <c r="AB20" s="3">
        <v>0.42699999999999999</v>
      </c>
      <c r="AC20" s="3">
        <v>0</v>
      </c>
      <c r="AD20" s="8"/>
      <c r="AE20" s="8"/>
      <c r="AF20" s="8"/>
      <c r="AG20" s="3">
        <v>0.52900000000000003</v>
      </c>
      <c r="AH20" s="3">
        <v>0.54100000000000004</v>
      </c>
      <c r="AI20" s="3">
        <v>-1.2999999999999999E-2</v>
      </c>
      <c r="AJ20" s="3">
        <v>0.62990000000000002</v>
      </c>
      <c r="AK20" s="4">
        <v>66</v>
      </c>
    </row>
    <row r="21" spans="1:37" x14ac:dyDescent="0.25">
      <c r="A21" s="12" t="s">
        <v>61</v>
      </c>
      <c r="B21" s="12" t="s">
        <v>66</v>
      </c>
      <c r="C21" s="5" t="s">
        <v>42</v>
      </c>
      <c r="D21" s="5"/>
      <c r="E21" s="6">
        <v>0</v>
      </c>
      <c r="F21" s="6">
        <v>0</v>
      </c>
      <c r="G21" s="6">
        <v>0</v>
      </c>
      <c r="H21" s="6">
        <v>0</v>
      </c>
      <c r="I21" s="7">
        <v>0</v>
      </c>
      <c r="J21" s="5"/>
      <c r="K21" s="7">
        <v>1</v>
      </c>
      <c r="L21" s="7">
        <v>0</v>
      </c>
      <c r="M21" s="7">
        <v>0</v>
      </c>
      <c r="N21" s="7">
        <v>0</v>
      </c>
      <c r="O21" s="5"/>
      <c r="P21" s="7">
        <v>0</v>
      </c>
      <c r="Q21" s="5"/>
      <c r="R21" s="5"/>
      <c r="S21" s="5"/>
      <c r="T21" s="7">
        <v>179</v>
      </c>
      <c r="U21" s="6">
        <v>-0.122</v>
      </c>
      <c r="V21" s="6">
        <v>0</v>
      </c>
      <c r="W21" s="6">
        <v>0</v>
      </c>
      <c r="X21" s="6">
        <v>0.42699999999999999</v>
      </c>
      <c r="Y21" s="6">
        <v>0.42699999999999999</v>
      </c>
      <c r="Z21" s="6">
        <v>0</v>
      </c>
      <c r="AA21" s="6">
        <v>0.42699999999999999</v>
      </c>
      <c r="AB21" s="6">
        <v>0.42699999999999999</v>
      </c>
      <c r="AC21" s="6">
        <v>0</v>
      </c>
      <c r="AD21" s="5"/>
      <c r="AE21" s="5"/>
      <c r="AF21" s="5"/>
      <c r="AG21" s="6">
        <v>0.52900000000000003</v>
      </c>
      <c r="AH21" s="6">
        <v>0.54100000000000004</v>
      </c>
      <c r="AI21" s="6">
        <v>-1.2999999999999999E-2</v>
      </c>
      <c r="AJ21" s="6">
        <v>0.62990000000000002</v>
      </c>
      <c r="AK21" s="7">
        <v>66</v>
      </c>
    </row>
    <row r="22" spans="1:37" x14ac:dyDescent="0.25">
      <c r="A22" s="12" t="s">
        <v>61</v>
      </c>
      <c r="B22" s="12" t="s">
        <v>46</v>
      </c>
      <c r="C22" s="2" t="s">
        <v>72</v>
      </c>
      <c r="D22" s="2" t="s">
        <v>72</v>
      </c>
      <c r="E22" s="3">
        <v>0</v>
      </c>
      <c r="F22" s="3">
        <v>0</v>
      </c>
      <c r="G22" s="3">
        <v>0</v>
      </c>
      <c r="H22" s="3">
        <v>0</v>
      </c>
      <c r="I22" s="4">
        <v>0</v>
      </c>
      <c r="J22" s="8"/>
      <c r="K22" s="4">
        <v>2</v>
      </c>
      <c r="L22" s="4">
        <v>0</v>
      </c>
      <c r="M22" s="4">
        <v>0</v>
      </c>
      <c r="N22" s="4">
        <v>0</v>
      </c>
      <c r="O22" s="8"/>
      <c r="P22" s="4">
        <v>0</v>
      </c>
      <c r="Q22" s="8"/>
      <c r="R22" s="8"/>
      <c r="S22" s="8"/>
      <c r="T22" s="4">
        <v>54</v>
      </c>
      <c r="U22" s="3">
        <v>7.0000000000000001E-3</v>
      </c>
      <c r="V22" s="3">
        <v>0</v>
      </c>
      <c r="W22" s="3">
        <v>0</v>
      </c>
      <c r="X22" s="3">
        <v>0.125</v>
      </c>
      <c r="Y22" s="3">
        <v>0.125</v>
      </c>
      <c r="Z22" s="3">
        <v>0</v>
      </c>
      <c r="AA22" s="3">
        <v>0.125</v>
      </c>
      <c r="AB22" s="3">
        <v>0.125</v>
      </c>
      <c r="AC22" s="3">
        <v>0</v>
      </c>
      <c r="AD22" s="8"/>
      <c r="AE22" s="8"/>
      <c r="AF22" s="8"/>
      <c r="AG22" s="3">
        <v>0.375</v>
      </c>
      <c r="AH22" s="3">
        <v>0.375</v>
      </c>
      <c r="AI22" s="3">
        <v>0</v>
      </c>
      <c r="AJ22" s="3">
        <v>0.61439999999999995</v>
      </c>
      <c r="AK22" s="4">
        <v>21</v>
      </c>
    </row>
    <row r="23" spans="1:37" x14ac:dyDescent="0.25">
      <c r="A23" s="12" t="s">
        <v>61</v>
      </c>
      <c r="B23" s="12" t="s">
        <v>46</v>
      </c>
      <c r="C23" s="5" t="s">
        <v>42</v>
      </c>
      <c r="D23" s="5"/>
      <c r="E23" s="6">
        <v>0</v>
      </c>
      <c r="F23" s="6">
        <v>0</v>
      </c>
      <c r="G23" s="6">
        <v>0</v>
      </c>
      <c r="H23" s="6">
        <v>0</v>
      </c>
      <c r="I23" s="7">
        <v>0</v>
      </c>
      <c r="J23" s="5"/>
      <c r="K23" s="7">
        <v>2</v>
      </c>
      <c r="L23" s="7">
        <v>0</v>
      </c>
      <c r="M23" s="7">
        <v>0</v>
      </c>
      <c r="N23" s="7">
        <v>0</v>
      </c>
      <c r="O23" s="5"/>
      <c r="P23" s="7">
        <v>0</v>
      </c>
      <c r="Q23" s="5"/>
      <c r="R23" s="5"/>
      <c r="S23" s="5"/>
      <c r="T23" s="7">
        <v>54</v>
      </c>
      <c r="U23" s="6">
        <v>7.0000000000000001E-3</v>
      </c>
      <c r="V23" s="6">
        <v>0</v>
      </c>
      <c r="W23" s="6">
        <v>0</v>
      </c>
      <c r="X23" s="6">
        <v>0.125</v>
      </c>
      <c r="Y23" s="6">
        <v>0.125</v>
      </c>
      <c r="Z23" s="6">
        <v>0</v>
      </c>
      <c r="AA23" s="6">
        <v>0.125</v>
      </c>
      <c r="AB23" s="6">
        <v>0.125</v>
      </c>
      <c r="AC23" s="6">
        <v>0</v>
      </c>
      <c r="AD23" s="5"/>
      <c r="AE23" s="5"/>
      <c r="AF23" s="5"/>
      <c r="AG23" s="6">
        <v>0.375</v>
      </c>
      <c r="AH23" s="6">
        <v>0.375</v>
      </c>
      <c r="AI23" s="6">
        <v>0</v>
      </c>
      <c r="AJ23" s="6">
        <v>0.61439999999999995</v>
      </c>
      <c r="AK23" s="7">
        <v>21</v>
      </c>
    </row>
    <row r="24" spans="1:37" x14ac:dyDescent="0.25">
      <c r="A24" s="12" t="s">
        <v>61</v>
      </c>
      <c r="B24" s="5" t="s">
        <v>42</v>
      </c>
      <c r="C24" s="5"/>
      <c r="D24" s="5"/>
      <c r="E24" s="6">
        <v>1.014</v>
      </c>
      <c r="F24" s="6">
        <v>0</v>
      </c>
      <c r="G24" s="6">
        <v>0</v>
      </c>
      <c r="H24" s="6">
        <v>0</v>
      </c>
      <c r="I24" s="7">
        <v>0</v>
      </c>
      <c r="J24" s="5"/>
      <c r="K24" s="7">
        <v>5</v>
      </c>
      <c r="L24" s="7">
        <v>0</v>
      </c>
      <c r="M24" s="7">
        <v>-25</v>
      </c>
      <c r="N24" s="7">
        <v>-25</v>
      </c>
      <c r="O24" s="6">
        <v>1.4E-2</v>
      </c>
      <c r="P24" s="7">
        <v>0</v>
      </c>
      <c r="Q24" s="5"/>
      <c r="R24" s="5"/>
      <c r="S24" s="5"/>
      <c r="T24" s="7">
        <v>1248</v>
      </c>
      <c r="U24" s="6">
        <v>-0.04</v>
      </c>
      <c r="V24" s="6">
        <v>0</v>
      </c>
      <c r="W24" s="6">
        <v>0.72099999999999997</v>
      </c>
      <c r="X24" s="6">
        <v>0.96499999999999997</v>
      </c>
      <c r="Y24" s="6">
        <v>0.255</v>
      </c>
      <c r="Z24" s="6">
        <v>0.71</v>
      </c>
      <c r="AA24" s="6">
        <v>0.96499999999999997</v>
      </c>
      <c r="AB24" s="6">
        <v>0.255</v>
      </c>
      <c r="AC24" s="6">
        <v>0.71</v>
      </c>
      <c r="AD24" s="5"/>
      <c r="AE24" s="5"/>
      <c r="AF24" s="5"/>
      <c r="AG24" s="6">
        <v>1.153</v>
      </c>
      <c r="AH24" s="6">
        <v>0.44400000000000001</v>
      </c>
      <c r="AI24" s="6">
        <v>0.70899999999999996</v>
      </c>
      <c r="AJ24" s="6">
        <v>1.2786</v>
      </c>
      <c r="AK24" s="7">
        <v>-348</v>
      </c>
    </row>
    <row r="25" spans="1:37" x14ac:dyDescent="0.25">
      <c r="A25" s="2" t="s">
        <v>75</v>
      </c>
      <c r="B25" s="2" t="s">
        <v>75</v>
      </c>
      <c r="C25" s="2" t="s">
        <v>75</v>
      </c>
      <c r="D25" s="2" t="s">
        <v>75</v>
      </c>
      <c r="E25" s="6">
        <v>0.23100000000000001</v>
      </c>
      <c r="F25" s="6">
        <v>0</v>
      </c>
      <c r="G25" s="6">
        <v>1.48</v>
      </c>
      <c r="H25" s="6">
        <v>0</v>
      </c>
      <c r="I25" s="7">
        <v>1</v>
      </c>
      <c r="J25" s="5"/>
      <c r="K25" s="7">
        <v>24</v>
      </c>
      <c r="L25" s="7">
        <v>1</v>
      </c>
      <c r="M25" s="7">
        <v>358</v>
      </c>
      <c r="N25" s="7">
        <v>209</v>
      </c>
      <c r="O25" s="6">
        <v>0.71199999999999997</v>
      </c>
      <c r="P25" s="7">
        <v>310</v>
      </c>
      <c r="Q25" s="5"/>
      <c r="R25" s="7">
        <v>309.72000000000003</v>
      </c>
      <c r="S25" s="5"/>
      <c r="T25" s="7">
        <v>2197</v>
      </c>
      <c r="U25" s="6">
        <v>-0.14000000000000001</v>
      </c>
      <c r="V25" s="6">
        <v>0</v>
      </c>
      <c r="W25" s="6">
        <v>0.41</v>
      </c>
      <c r="X25" s="6">
        <v>0.61699999999999999</v>
      </c>
      <c r="Y25" s="6">
        <v>0.20599999999999999</v>
      </c>
      <c r="Z25" s="6">
        <v>0.41199999999999998</v>
      </c>
      <c r="AA25" s="6">
        <v>0.61699999999999999</v>
      </c>
      <c r="AB25" s="6">
        <v>0.20599999999999999</v>
      </c>
      <c r="AC25" s="6">
        <v>0.41199999999999998</v>
      </c>
      <c r="AD25" s="6">
        <v>0</v>
      </c>
      <c r="AE25" s="5"/>
      <c r="AF25" s="5"/>
      <c r="AG25" s="6">
        <v>0.78600000000000003</v>
      </c>
      <c r="AH25" s="6">
        <v>0.36699999999999999</v>
      </c>
      <c r="AI25" s="6">
        <v>0.41899999999999998</v>
      </c>
      <c r="AJ25" s="6">
        <v>0.93300000000000005</v>
      </c>
      <c r="AK25" s="7">
        <v>147</v>
      </c>
    </row>
    <row r="27" spans="1:37" x14ac:dyDescent="0.25">
      <c r="A27" t="s">
        <v>76</v>
      </c>
      <c r="B27" t="s">
        <v>76</v>
      </c>
      <c r="C27" t="s">
        <v>76</v>
      </c>
    </row>
    <row r="28" spans="1:37" x14ac:dyDescent="0.25">
      <c r="A28" s="9" t="s">
        <v>84</v>
      </c>
      <c r="B28" s="9" t="s">
        <v>87</v>
      </c>
    </row>
  </sheetData>
  <mergeCells count="12">
    <mergeCell ref="B20:B21"/>
    <mergeCell ref="B22:B23"/>
    <mergeCell ref="A4:AK4"/>
    <mergeCell ref="A5:AK5"/>
    <mergeCell ref="A7:A17"/>
    <mergeCell ref="A18:A24"/>
    <mergeCell ref="B7:B8"/>
    <mergeCell ref="B9:B10"/>
    <mergeCell ref="B11:B12"/>
    <mergeCell ref="B13:B14"/>
    <mergeCell ref="B15:B16"/>
    <mergeCell ref="B18:B19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BBA2-6F90-4561-BE82-FD34BBB3752F}">
  <dimension ref="A4:AL45"/>
  <sheetViews>
    <sheetView topLeftCell="D28" workbookViewId="0">
      <selection activeCell="N44" sqref="N44"/>
    </sheetView>
  </sheetViews>
  <sheetFormatPr baseColWidth="10" defaultRowHeight="15" x14ac:dyDescent="0.25"/>
  <sheetData>
    <row r="4" spans="1:38" ht="20.25" x14ac:dyDescent="0.25">
      <c r="A4" s="10" t="s">
        <v>85</v>
      </c>
      <c r="B4" s="10" t="s">
        <v>85</v>
      </c>
      <c r="C4" s="10" t="s">
        <v>85</v>
      </c>
      <c r="D4" s="10" t="s">
        <v>85</v>
      </c>
      <c r="E4" s="10" t="s">
        <v>85</v>
      </c>
      <c r="F4" s="10" t="s">
        <v>85</v>
      </c>
      <c r="G4" s="10" t="s">
        <v>85</v>
      </c>
      <c r="H4" s="10" t="s">
        <v>85</v>
      </c>
      <c r="I4" s="10" t="s">
        <v>85</v>
      </c>
      <c r="J4" s="10" t="s">
        <v>85</v>
      </c>
      <c r="K4" s="10" t="s">
        <v>85</v>
      </c>
      <c r="L4" s="10" t="s">
        <v>85</v>
      </c>
      <c r="M4" s="10" t="s">
        <v>85</v>
      </c>
      <c r="N4" s="10" t="s">
        <v>85</v>
      </c>
      <c r="O4" s="10"/>
      <c r="P4" s="10" t="s">
        <v>85</v>
      </c>
      <c r="Q4" s="10" t="s">
        <v>85</v>
      </c>
      <c r="R4" s="10" t="s">
        <v>85</v>
      </c>
      <c r="S4" s="10" t="s">
        <v>85</v>
      </c>
      <c r="T4" s="10" t="s">
        <v>85</v>
      </c>
      <c r="U4" s="10" t="s">
        <v>85</v>
      </c>
      <c r="V4" s="10" t="s">
        <v>85</v>
      </c>
      <c r="W4" s="10" t="s">
        <v>85</v>
      </c>
      <c r="X4" s="10" t="s">
        <v>85</v>
      </c>
      <c r="Y4" s="10" t="s">
        <v>85</v>
      </c>
      <c r="Z4" s="10" t="s">
        <v>85</v>
      </c>
      <c r="AA4" s="10" t="s">
        <v>85</v>
      </c>
      <c r="AB4" s="10" t="s">
        <v>85</v>
      </c>
      <c r="AC4" s="10" t="s">
        <v>85</v>
      </c>
      <c r="AD4" s="10" t="s">
        <v>85</v>
      </c>
      <c r="AE4" s="10" t="s">
        <v>85</v>
      </c>
      <c r="AF4" s="10" t="s">
        <v>85</v>
      </c>
      <c r="AG4" s="10" t="s">
        <v>85</v>
      </c>
      <c r="AH4" s="10" t="s">
        <v>85</v>
      </c>
      <c r="AI4" s="10" t="s">
        <v>85</v>
      </c>
      <c r="AJ4" s="10" t="s">
        <v>85</v>
      </c>
      <c r="AK4" s="10" t="s">
        <v>85</v>
      </c>
      <c r="AL4" s="10" t="s">
        <v>85</v>
      </c>
    </row>
    <row r="5" spans="1:38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/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1.0369999999999999</v>
      </c>
      <c r="F7" s="3">
        <v>0</v>
      </c>
      <c r="G7" s="3">
        <v>0</v>
      </c>
      <c r="H7" s="3">
        <v>0</v>
      </c>
      <c r="I7" s="4">
        <v>0</v>
      </c>
      <c r="J7" s="8"/>
      <c r="K7" s="4">
        <v>22</v>
      </c>
      <c r="L7" s="4">
        <v>0</v>
      </c>
      <c r="M7" s="4">
        <v>774</v>
      </c>
      <c r="N7" s="4">
        <v>747</v>
      </c>
      <c r="O7" s="4">
        <f>M7-N7</f>
        <v>27</v>
      </c>
      <c r="P7" s="3">
        <v>3.6999999999999998E-2</v>
      </c>
      <c r="Q7" s="4">
        <v>0</v>
      </c>
      <c r="R7" s="8"/>
      <c r="S7" s="8"/>
      <c r="T7" s="8"/>
      <c r="U7" s="4">
        <v>607</v>
      </c>
      <c r="V7" s="3">
        <v>-7.1999999999999995E-2</v>
      </c>
      <c r="W7" s="3">
        <v>0</v>
      </c>
      <c r="X7" s="3">
        <v>0</v>
      </c>
      <c r="Y7" s="3">
        <v>0.252</v>
      </c>
      <c r="Z7" s="3">
        <v>0.252</v>
      </c>
      <c r="AA7" s="3">
        <v>0</v>
      </c>
      <c r="AB7" s="3">
        <v>0.252</v>
      </c>
      <c r="AC7" s="3">
        <v>0.252</v>
      </c>
      <c r="AD7" s="3">
        <v>0</v>
      </c>
      <c r="AE7" s="8"/>
      <c r="AF7" s="8"/>
      <c r="AG7" s="8"/>
      <c r="AH7" s="3">
        <v>0.46800000000000003</v>
      </c>
      <c r="AI7" s="3">
        <v>0.46200000000000002</v>
      </c>
      <c r="AJ7" s="3">
        <v>6.0000000000000001E-3</v>
      </c>
      <c r="AK7" s="3">
        <v>0</v>
      </c>
      <c r="AL7" s="4">
        <v>0</v>
      </c>
    </row>
    <row r="8" spans="1:38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1.0469999999999999</v>
      </c>
      <c r="F8" s="3">
        <v>0</v>
      </c>
      <c r="G8" s="3">
        <v>0</v>
      </c>
      <c r="H8" s="3">
        <v>0</v>
      </c>
      <c r="I8" s="4">
        <v>0</v>
      </c>
      <c r="J8" s="8"/>
      <c r="K8" s="4">
        <v>49</v>
      </c>
      <c r="L8" s="4">
        <v>0</v>
      </c>
      <c r="M8" s="4">
        <v>1434</v>
      </c>
      <c r="N8" s="4">
        <v>1369</v>
      </c>
      <c r="O8" s="4">
        <f t="shared" ref="O8:O42" si="0">M8-N8</f>
        <v>65</v>
      </c>
      <c r="P8" s="3">
        <v>4.7E-2</v>
      </c>
      <c r="Q8" s="4">
        <v>0</v>
      </c>
      <c r="R8" s="8"/>
      <c r="S8" s="8"/>
      <c r="T8" s="8"/>
      <c r="U8" s="4">
        <v>1393</v>
      </c>
      <c r="V8" s="3">
        <v>0.122</v>
      </c>
      <c r="W8" s="3">
        <v>4.0000000000000001E-3</v>
      </c>
      <c r="X8" s="3">
        <v>0</v>
      </c>
      <c r="Y8" s="3">
        <v>2.9000000000000001E-2</v>
      </c>
      <c r="Z8" s="3">
        <v>2.9000000000000001E-2</v>
      </c>
      <c r="AA8" s="3">
        <v>0</v>
      </c>
      <c r="AB8" s="3">
        <v>2.9000000000000001E-2</v>
      </c>
      <c r="AC8" s="3">
        <v>2.9000000000000001E-2</v>
      </c>
      <c r="AD8" s="3">
        <v>0</v>
      </c>
      <c r="AE8" s="8"/>
      <c r="AF8" s="8"/>
      <c r="AG8" s="8"/>
      <c r="AH8" s="3">
        <v>0.29299999999999998</v>
      </c>
      <c r="AI8" s="3">
        <v>0.30599999999999999</v>
      </c>
      <c r="AJ8" s="3">
        <v>-1.2999999999999999E-2</v>
      </c>
      <c r="AK8" s="3">
        <v>0</v>
      </c>
      <c r="AL8" s="4">
        <v>0</v>
      </c>
    </row>
    <row r="9" spans="1:38" x14ac:dyDescent="0.25">
      <c r="A9" s="12" t="s">
        <v>37</v>
      </c>
      <c r="B9" s="12" t="s">
        <v>38</v>
      </c>
      <c r="C9" s="5" t="s">
        <v>42</v>
      </c>
      <c r="D9" s="5"/>
      <c r="E9" s="6">
        <v>1.0429999999999999</v>
      </c>
      <c r="F9" s="6">
        <v>0</v>
      </c>
      <c r="G9" s="6">
        <v>0</v>
      </c>
      <c r="H9" s="6">
        <v>0</v>
      </c>
      <c r="I9" s="7">
        <v>0</v>
      </c>
      <c r="J9" s="5"/>
      <c r="K9" s="7">
        <v>71</v>
      </c>
      <c r="L9" s="7">
        <v>0</v>
      </c>
      <c r="M9" s="7">
        <v>2208</v>
      </c>
      <c r="N9" s="7">
        <v>2116</v>
      </c>
      <c r="O9" s="4">
        <f t="shared" si="0"/>
        <v>92</v>
      </c>
      <c r="P9" s="6">
        <v>4.2999999999999997E-2</v>
      </c>
      <c r="Q9" s="7">
        <v>0</v>
      </c>
      <c r="R9" s="5"/>
      <c r="S9" s="5"/>
      <c r="T9" s="5"/>
      <c r="U9" s="7">
        <v>2000</v>
      </c>
      <c r="V9" s="6">
        <v>5.5E-2</v>
      </c>
      <c r="W9" s="6">
        <v>3.0000000000000001E-3</v>
      </c>
      <c r="X9" s="6">
        <v>0</v>
      </c>
      <c r="Y9" s="6">
        <v>9.7000000000000003E-2</v>
      </c>
      <c r="Z9" s="6">
        <v>0.106</v>
      </c>
      <c r="AA9" s="6">
        <v>-8.9999999999999993E-3</v>
      </c>
      <c r="AB9" s="6">
        <v>9.7000000000000003E-2</v>
      </c>
      <c r="AC9" s="6">
        <v>0.106</v>
      </c>
      <c r="AD9" s="6">
        <v>-8.9999999999999993E-3</v>
      </c>
      <c r="AE9" s="5"/>
      <c r="AF9" s="5"/>
      <c r="AG9" s="5"/>
      <c r="AH9" s="6">
        <v>0.34599999999999997</v>
      </c>
      <c r="AI9" s="6">
        <v>0.36</v>
      </c>
      <c r="AJ9" s="6">
        <v>-1.4E-2</v>
      </c>
      <c r="AK9" s="6">
        <v>0</v>
      </c>
      <c r="AL9" s="7">
        <v>0</v>
      </c>
    </row>
    <row r="10" spans="1:38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1.002</v>
      </c>
      <c r="F10" s="3">
        <v>2.4E-2</v>
      </c>
      <c r="G10" s="3">
        <v>6.9000000000000006E-2</v>
      </c>
      <c r="H10" s="3">
        <v>5.2999999999999999E-2</v>
      </c>
      <c r="I10" s="4">
        <v>63</v>
      </c>
      <c r="J10" s="3">
        <v>0.34</v>
      </c>
      <c r="K10" s="4">
        <v>2518</v>
      </c>
      <c r="L10" s="4">
        <v>3</v>
      </c>
      <c r="M10" s="4">
        <v>295093</v>
      </c>
      <c r="N10" s="4">
        <v>275728</v>
      </c>
      <c r="O10" s="4">
        <f t="shared" si="0"/>
        <v>19365</v>
      </c>
      <c r="P10" s="3">
        <v>7.0000000000000007E-2</v>
      </c>
      <c r="Q10" s="4">
        <v>18914</v>
      </c>
      <c r="R10" s="3">
        <v>0.26300000000000001</v>
      </c>
      <c r="S10" s="4">
        <v>300.22000000000003</v>
      </c>
      <c r="T10" s="3">
        <v>-9.8000000000000004E-2</v>
      </c>
      <c r="U10" s="4">
        <v>145659</v>
      </c>
      <c r="V10" s="3">
        <v>1.0999999999999999E-2</v>
      </c>
      <c r="W10" s="3">
        <v>8.9999999999999993E-3</v>
      </c>
      <c r="X10" s="3">
        <v>0.73199999999999998</v>
      </c>
      <c r="Y10" s="3">
        <v>0.77300000000000002</v>
      </c>
      <c r="Z10" s="3">
        <v>0.53700000000000003</v>
      </c>
      <c r="AA10" s="3">
        <v>0.23599999999999999</v>
      </c>
      <c r="AB10" s="3">
        <v>0.77300000000000002</v>
      </c>
      <c r="AC10" s="3">
        <v>0.53700000000000003</v>
      </c>
      <c r="AD10" s="3">
        <v>0.23599999999999999</v>
      </c>
      <c r="AE10" s="3">
        <v>0.67500000000000004</v>
      </c>
      <c r="AF10" s="3">
        <v>6.8000000000000005E-2</v>
      </c>
      <c r="AG10" s="3">
        <v>0.60699999999999998</v>
      </c>
      <c r="AH10" s="3">
        <v>0.85799999999999998</v>
      </c>
      <c r="AI10" s="3">
        <v>0.623</v>
      </c>
      <c r="AJ10" s="3">
        <v>0.23599999999999999</v>
      </c>
      <c r="AK10" s="3">
        <v>0</v>
      </c>
      <c r="AL10" s="4">
        <v>0</v>
      </c>
    </row>
    <row r="11" spans="1:38" x14ac:dyDescent="0.25">
      <c r="A11" s="12" t="s">
        <v>37</v>
      </c>
      <c r="B11" s="12" t="s">
        <v>43</v>
      </c>
      <c r="C11" s="5" t="s">
        <v>42</v>
      </c>
      <c r="D11" s="5"/>
      <c r="E11" s="6">
        <v>1.002</v>
      </c>
      <c r="F11" s="6">
        <v>2.4E-2</v>
      </c>
      <c r="G11" s="6">
        <v>6.9000000000000006E-2</v>
      </c>
      <c r="H11" s="6">
        <v>5.2999999999999999E-2</v>
      </c>
      <c r="I11" s="7">
        <v>63</v>
      </c>
      <c r="J11" s="6">
        <v>0.34</v>
      </c>
      <c r="K11" s="7">
        <v>2518</v>
      </c>
      <c r="L11" s="7">
        <v>3</v>
      </c>
      <c r="M11" s="7">
        <v>295093</v>
      </c>
      <c r="N11" s="7">
        <v>275728</v>
      </c>
      <c r="O11" s="4">
        <f t="shared" si="0"/>
        <v>19365</v>
      </c>
      <c r="P11" s="6">
        <v>7.0000000000000007E-2</v>
      </c>
      <c r="Q11" s="7">
        <v>18914</v>
      </c>
      <c r="R11" s="6">
        <v>0.26300000000000001</v>
      </c>
      <c r="S11" s="7">
        <v>300.22000000000003</v>
      </c>
      <c r="T11" s="6">
        <v>-9.8000000000000004E-2</v>
      </c>
      <c r="U11" s="7">
        <v>145659</v>
      </c>
      <c r="V11" s="6">
        <v>1.0999999999999999E-2</v>
      </c>
      <c r="W11" s="6">
        <v>8.9999999999999993E-3</v>
      </c>
      <c r="X11" s="6">
        <v>0.73199999999999998</v>
      </c>
      <c r="Y11" s="6">
        <v>0.77300000000000002</v>
      </c>
      <c r="Z11" s="6">
        <v>0.53700000000000003</v>
      </c>
      <c r="AA11" s="6">
        <v>0.23599999999999999</v>
      </c>
      <c r="AB11" s="6">
        <v>0.77300000000000002</v>
      </c>
      <c r="AC11" s="6">
        <v>0.53700000000000003</v>
      </c>
      <c r="AD11" s="6">
        <v>0.23599999999999999</v>
      </c>
      <c r="AE11" s="6">
        <v>0.67500000000000004</v>
      </c>
      <c r="AF11" s="6">
        <v>6.8000000000000005E-2</v>
      </c>
      <c r="AG11" s="6">
        <v>0.60699999999999998</v>
      </c>
      <c r="AH11" s="6">
        <v>0.85799999999999998</v>
      </c>
      <c r="AI11" s="6">
        <v>0.623</v>
      </c>
      <c r="AJ11" s="6">
        <v>0.23599999999999999</v>
      </c>
      <c r="AK11" s="6">
        <v>0</v>
      </c>
      <c r="AL11" s="7">
        <v>0</v>
      </c>
    </row>
    <row r="12" spans="1:38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0.95299999999999996</v>
      </c>
      <c r="F12" s="3">
        <v>1.2999999999999999E-2</v>
      </c>
      <c r="G12" s="3">
        <v>7.4999999999999997E-2</v>
      </c>
      <c r="H12" s="3">
        <v>4.4999999999999998E-2</v>
      </c>
      <c r="I12" s="4">
        <v>12</v>
      </c>
      <c r="J12" s="3">
        <v>-0.4</v>
      </c>
      <c r="K12" s="4">
        <v>754</v>
      </c>
      <c r="L12" s="4">
        <v>2</v>
      </c>
      <c r="M12" s="4">
        <v>27630</v>
      </c>
      <c r="N12" s="4">
        <v>26870</v>
      </c>
      <c r="O12" s="4">
        <f t="shared" si="0"/>
        <v>760</v>
      </c>
      <c r="P12" s="3">
        <v>2.8000000000000001E-2</v>
      </c>
      <c r="Q12" s="4">
        <v>2014</v>
      </c>
      <c r="R12" s="3">
        <v>-0.53200000000000003</v>
      </c>
      <c r="S12" s="4">
        <v>167.87</v>
      </c>
      <c r="T12" s="3">
        <v>-0.22</v>
      </c>
      <c r="U12" s="4">
        <v>25501</v>
      </c>
      <c r="V12" s="3">
        <v>0.04</v>
      </c>
      <c r="W12" s="3">
        <v>1E-3</v>
      </c>
      <c r="X12" s="3">
        <v>0.55500000000000005</v>
      </c>
      <c r="Y12" s="3">
        <v>0.68300000000000005</v>
      </c>
      <c r="Z12" s="3">
        <v>0.79</v>
      </c>
      <c r="AA12" s="3">
        <v>-0.107</v>
      </c>
      <c r="AB12" s="3">
        <v>0.68300000000000005</v>
      </c>
      <c r="AC12" s="3">
        <v>0.75700000000000001</v>
      </c>
      <c r="AD12" s="3">
        <v>-7.3999999999999996E-2</v>
      </c>
      <c r="AE12" s="3">
        <v>2.2959999999999998</v>
      </c>
      <c r="AF12" s="3">
        <v>0.53300000000000003</v>
      </c>
      <c r="AG12" s="3">
        <v>1.7629999999999999</v>
      </c>
      <c r="AH12" s="3">
        <v>0.90500000000000003</v>
      </c>
      <c r="AI12" s="3">
        <v>1.012</v>
      </c>
      <c r="AJ12" s="3">
        <v>-0.107</v>
      </c>
      <c r="AK12" s="3">
        <v>0</v>
      </c>
      <c r="AL12" s="4">
        <v>0</v>
      </c>
    </row>
    <row r="13" spans="1:38" x14ac:dyDescent="0.25">
      <c r="A13" s="12" t="s">
        <v>37</v>
      </c>
      <c r="B13" s="12" t="s">
        <v>45</v>
      </c>
      <c r="C13" s="5" t="s">
        <v>42</v>
      </c>
      <c r="D13" s="5"/>
      <c r="E13" s="6">
        <v>0.95299999999999996</v>
      </c>
      <c r="F13" s="6">
        <v>1.2999999999999999E-2</v>
      </c>
      <c r="G13" s="6">
        <v>7.4999999999999997E-2</v>
      </c>
      <c r="H13" s="6">
        <v>4.4999999999999998E-2</v>
      </c>
      <c r="I13" s="7">
        <v>12</v>
      </c>
      <c r="J13" s="6">
        <v>-0.4</v>
      </c>
      <c r="K13" s="7">
        <v>754</v>
      </c>
      <c r="L13" s="7">
        <v>2</v>
      </c>
      <c r="M13" s="7">
        <v>27630</v>
      </c>
      <c r="N13" s="7">
        <v>26870</v>
      </c>
      <c r="O13" s="4">
        <f t="shared" si="0"/>
        <v>760</v>
      </c>
      <c r="P13" s="6">
        <v>2.8000000000000001E-2</v>
      </c>
      <c r="Q13" s="7">
        <v>2014</v>
      </c>
      <c r="R13" s="6">
        <v>-0.53200000000000003</v>
      </c>
      <c r="S13" s="7">
        <v>167.87</v>
      </c>
      <c r="T13" s="6">
        <v>-0.22</v>
      </c>
      <c r="U13" s="7">
        <v>25501</v>
      </c>
      <c r="V13" s="6">
        <v>0.04</v>
      </c>
      <c r="W13" s="6">
        <v>1E-3</v>
      </c>
      <c r="X13" s="6">
        <v>0.55500000000000005</v>
      </c>
      <c r="Y13" s="6">
        <v>0.68300000000000005</v>
      </c>
      <c r="Z13" s="6">
        <v>0.79</v>
      </c>
      <c r="AA13" s="6">
        <v>-0.107</v>
      </c>
      <c r="AB13" s="6">
        <v>0.68300000000000005</v>
      </c>
      <c r="AC13" s="6">
        <v>0.75700000000000001</v>
      </c>
      <c r="AD13" s="6">
        <v>-7.3999999999999996E-2</v>
      </c>
      <c r="AE13" s="6">
        <v>2.2959999999999998</v>
      </c>
      <c r="AF13" s="6">
        <v>0.53300000000000003</v>
      </c>
      <c r="AG13" s="6">
        <v>1.7629999999999999</v>
      </c>
      <c r="AH13" s="6">
        <v>0.90500000000000003</v>
      </c>
      <c r="AI13" s="6">
        <v>1.012</v>
      </c>
      <c r="AJ13" s="6">
        <v>-0.107</v>
      </c>
      <c r="AK13" s="6">
        <v>0</v>
      </c>
      <c r="AL13" s="7">
        <v>0</v>
      </c>
    </row>
    <row r="14" spans="1:38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1.0009999999999999</v>
      </c>
      <c r="F14" s="3">
        <v>0</v>
      </c>
      <c r="G14" s="3">
        <v>0</v>
      </c>
      <c r="H14" s="3">
        <v>0</v>
      </c>
      <c r="I14" s="4">
        <v>0</v>
      </c>
      <c r="J14" s="3">
        <v>-1</v>
      </c>
      <c r="K14" s="4">
        <v>24</v>
      </c>
      <c r="L14" s="4">
        <v>0</v>
      </c>
      <c r="M14" s="4">
        <v>4032</v>
      </c>
      <c r="N14" s="4">
        <v>4027</v>
      </c>
      <c r="O14" s="4">
        <f t="shared" si="0"/>
        <v>5</v>
      </c>
      <c r="P14" s="3">
        <v>1E-3</v>
      </c>
      <c r="Q14" s="4">
        <v>0</v>
      </c>
      <c r="R14" s="3">
        <v>-1</v>
      </c>
      <c r="S14" s="8"/>
      <c r="T14" s="8"/>
      <c r="U14" s="4">
        <v>2801</v>
      </c>
      <c r="V14" s="3">
        <v>5.7000000000000002E-2</v>
      </c>
      <c r="W14" s="3">
        <v>0</v>
      </c>
      <c r="X14" s="3">
        <v>0.33800000000000002</v>
      </c>
      <c r="Y14" s="3">
        <v>0.52200000000000002</v>
      </c>
      <c r="Z14" s="3">
        <v>0.88400000000000001</v>
      </c>
      <c r="AA14" s="3">
        <v>-0.36299999999999999</v>
      </c>
      <c r="AB14" s="3">
        <v>0.52200000000000002</v>
      </c>
      <c r="AC14" s="3">
        <v>0.88400000000000001</v>
      </c>
      <c r="AD14" s="3">
        <v>-0.36299999999999999</v>
      </c>
      <c r="AE14" s="8"/>
      <c r="AF14" s="3">
        <v>0</v>
      </c>
      <c r="AG14" s="8"/>
      <c r="AH14" s="3">
        <v>0.72199999999999998</v>
      </c>
      <c r="AI14" s="3">
        <v>1.0840000000000001</v>
      </c>
      <c r="AJ14" s="3">
        <v>-0.36299999999999999</v>
      </c>
      <c r="AK14" s="3">
        <v>0</v>
      </c>
      <c r="AL14" s="4">
        <v>0</v>
      </c>
    </row>
    <row r="15" spans="1:38" x14ac:dyDescent="0.25">
      <c r="A15" s="12" t="s">
        <v>37</v>
      </c>
      <c r="B15" s="12" t="s">
        <v>46</v>
      </c>
      <c r="C15" s="5" t="s">
        <v>42</v>
      </c>
      <c r="D15" s="5"/>
      <c r="E15" s="6">
        <v>1.0009999999999999</v>
      </c>
      <c r="F15" s="6">
        <v>0</v>
      </c>
      <c r="G15" s="6">
        <v>0</v>
      </c>
      <c r="H15" s="6">
        <v>0</v>
      </c>
      <c r="I15" s="7">
        <v>0</v>
      </c>
      <c r="J15" s="6">
        <v>-1</v>
      </c>
      <c r="K15" s="7">
        <v>24</v>
      </c>
      <c r="L15" s="7">
        <v>0</v>
      </c>
      <c r="M15" s="7">
        <v>4032</v>
      </c>
      <c r="N15" s="7">
        <v>4027</v>
      </c>
      <c r="O15" s="4">
        <f t="shared" si="0"/>
        <v>5</v>
      </c>
      <c r="P15" s="6">
        <v>1E-3</v>
      </c>
      <c r="Q15" s="7">
        <v>0</v>
      </c>
      <c r="R15" s="6">
        <v>-1</v>
      </c>
      <c r="S15" s="5"/>
      <c r="T15" s="5"/>
      <c r="U15" s="7">
        <v>2801</v>
      </c>
      <c r="V15" s="6">
        <v>5.7000000000000002E-2</v>
      </c>
      <c r="W15" s="6">
        <v>0</v>
      </c>
      <c r="X15" s="6">
        <v>0.33800000000000002</v>
      </c>
      <c r="Y15" s="6">
        <v>0.52200000000000002</v>
      </c>
      <c r="Z15" s="6">
        <v>0.88400000000000001</v>
      </c>
      <c r="AA15" s="6">
        <v>-0.36299999999999999</v>
      </c>
      <c r="AB15" s="6">
        <v>0.52200000000000002</v>
      </c>
      <c r="AC15" s="6">
        <v>0.88400000000000001</v>
      </c>
      <c r="AD15" s="6">
        <v>-0.36299999999999999</v>
      </c>
      <c r="AE15" s="5"/>
      <c r="AF15" s="6">
        <v>0</v>
      </c>
      <c r="AG15" s="5"/>
      <c r="AH15" s="6">
        <v>0.72199999999999998</v>
      </c>
      <c r="AI15" s="6">
        <v>1.0840000000000001</v>
      </c>
      <c r="AJ15" s="6">
        <v>-0.36299999999999999</v>
      </c>
      <c r="AK15" s="6">
        <v>0</v>
      </c>
      <c r="AL15" s="7">
        <v>0</v>
      </c>
    </row>
    <row r="16" spans="1:38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1</v>
      </c>
      <c r="G16" s="3">
        <v>0.70499999999999996</v>
      </c>
      <c r="H16" s="3">
        <v>0</v>
      </c>
      <c r="I16" s="4">
        <v>1</v>
      </c>
      <c r="J16" s="3">
        <v>0</v>
      </c>
      <c r="K16" s="4">
        <v>1</v>
      </c>
      <c r="L16" s="4">
        <v>0</v>
      </c>
      <c r="M16" s="4">
        <v>142</v>
      </c>
      <c r="N16" s="4">
        <v>202</v>
      </c>
      <c r="O16" s="4">
        <f t="shared" si="0"/>
        <v>-60</v>
      </c>
      <c r="P16" s="3">
        <v>-0.29499999999999998</v>
      </c>
      <c r="Q16" s="4">
        <v>142</v>
      </c>
      <c r="R16" s="3">
        <v>-0.29499999999999998</v>
      </c>
      <c r="S16" s="4">
        <v>1237.8699999999999</v>
      </c>
      <c r="T16" s="3">
        <v>-0.58099999999999996</v>
      </c>
      <c r="U16" s="4">
        <v>267</v>
      </c>
      <c r="V16" s="3">
        <v>2.0550000000000002</v>
      </c>
      <c r="W16" s="3">
        <v>0</v>
      </c>
      <c r="X16" s="3">
        <v>0</v>
      </c>
      <c r="Y16" s="3">
        <v>-0.28000000000000003</v>
      </c>
      <c r="Z16" s="3">
        <v>-0.28000000000000003</v>
      </c>
      <c r="AA16" s="3">
        <v>0</v>
      </c>
      <c r="AB16" s="3">
        <v>-0.28000000000000003</v>
      </c>
      <c r="AC16" s="3">
        <v>-0.28000000000000003</v>
      </c>
      <c r="AD16" s="3">
        <v>0</v>
      </c>
      <c r="AE16" s="3">
        <v>0</v>
      </c>
      <c r="AF16" s="3">
        <v>0</v>
      </c>
      <c r="AG16" s="3">
        <v>0</v>
      </c>
      <c r="AH16" s="3">
        <v>-0.13</v>
      </c>
      <c r="AI16" s="3">
        <v>-0.13</v>
      </c>
      <c r="AJ16" s="3">
        <v>0</v>
      </c>
      <c r="AK16" s="3">
        <v>0</v>
      </c>
      <c r="AL16" s="4">
        <v>0</v>
      </c>
    </row>
    <row r="17" spans="1:38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</v>
      </c>
      <c r="F17" s="3">
        <v>0.125</v>
      </c>
      <c r="G17" s="3">
        <v>0</v>
      </c>
      <c r="H17" s="3">
        <v>0</v>
      </c>
      <c r="I17" s="4">
        <v>0</v>
      </c>
      <c r="J17" s="8"/>
      <c r="K17" s="4">
        <v>7</v>
      </c>
      <c r="L17" s="4">
        <v>-1</v>
      </c>
      <c r="M17" s="4">
        <v>-104</v>
      </c>
      <c r="N17" s="4">
        <v>0</v>
      </c>
      <c r="O17" s="4">
        <f t="shared" si="0"/>
        <v>-104</v>
      </c>
      <c r="P17" s="8"/>
      <c r="Q17" s="4">
        <v>0</v>
      </c>
      <c r="R17" s="8"/>
      <c r="S17" s="8"/>
      <c r="T17" s="8"/>
      <c r="U17" s="4">
        <v>173</v>
      </c>
      <c r="V17" s="3">
        <v>5.1999999999999998E-2</v>
      </c>
      <c r="W17" s="3">
        <v>0</v>
      </c>
      <c r="X17" s="3">
        <v>0</v>
      </c>
      <c r="Y17" s="3">
        <v>0.39</v>
      </c>
      <c r="Z17" s="3">
        <v>0.39</v>
      </c>
      <c r="AA17" s="3">
        <v>0</v>
      </c>
      <c r="AB17" s="3">
        <v>0.39</v>
      </c>
      <c r="AC17" s="3">
        <v>0.39</v>
      </c>
      <c r="AD17" s="3">
        <v>0</v>
      </c>
      <c r="AE17" s="8"/>
      <c r="AF17" s="8"/>
      <c r="AG17" s="8"/>
      <c r="AH17" s="3">
        <v>0.54</v>
      </c>
      <c r="AI17" s="3">
        <v>0.54</v>
      </c>
      <c r="AJ17" s="3">
        <v>0</v>
      </c>
      <c r="AK17" s="3">
        <v>0</v>
      </c>
      <c r="AL17" s="4">
        <v>0</v>
      </c>
    </row>
    <row r="18" spans="1:38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1.05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5</v>
      </c>
      <c r="L18" s="4">
        <v>0</v>
      </c>
      <c r="M18" s="4">
        <v>68</v>
      </c>
      <c r="N18" s="4">
        <v>65</v>
      </c>
      <c r="O18" s="4">
        <f t="shared" si="0"/>
        <v>3</v>
      </c>
      <c r="P18" s="3">
        <v>0.05</v>
      </c>
      <c r="Q18" s="4">
        <v>0</v>
      </c>
      <c r="R18" s="8"/>
      <c r="S18" s="8"/>
      <c r="T18" s="8"/>
      <c r="U18" s="4">
        <v>60</v>
      </c>
      <c r="V18" s="3">
        <v>-4.2000000000000003E-2</v>
      </c>
      <c r="W18" s="3">
        <v>0</v>
      </c>
      <c r="X18" s="3">
        <v>0</v>
      </c>
      <c r="Y18" s="3">
        <v>-5.0999999999999997E-2</v>
      </c>
      <c r="Z18" s="3">
        <v>-5.0999999999999997E-2</v>
      </c>
      <c r="AA18" s="3">
        <v>0</v>
      </c>
      <c r="AB18" s="3">
        <v>-5.0999999999999997E-2</v>
      </c>
      <c r="AC18" s="3">
        <v>-5.0999999999999997E-2</v>
      </c>
      <c r="AD18" s="3">
        <v>0</v>
      </c>
      <c r="AE18" s="8"/>
      <c r="AF18" s="8"/>
      <c r="AG18" s="8"/>
      <c r="AH18" s="3">
        <v>0.154</v>
      </c>
      <c r="AI18" s="3">
        <v>0.157</v>
      </c>
      <c r="AJ18" s="3">
        <v>-4.0000000000000001E-3</v>
      </c>
      <c r="AK18" s="3">
        <v>0</v>
      </c>
      <c r="AL18" s="4">
        <v>0</v>
      </c>
    </row>
    <row r="19" spans="1:38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0.65200000000000002</v>
      </c>
      <c r="F19" s="3">
        <v>1.7999999999999999E-2</v>
      </c>
      <c r="G19" s="3">
        <v>0.17199999999999999</v>
      </c>
      <c r="H19" s="3">
        <v>0.17199999999999999</v>
      </c>
      <c r="I19" s="4">
        <v>1</v>
      </c>
      <c r="J19" s="3">
        <v>-0.5</v>
      </c>
      <c r="K19" s="4">
        <v>109</v>
      </c>
      <c r="L19" s="4">
        <v>-1</v>
      </c>
      <c r="M19" s="4">
        <v>72</v>
      </c>
      <c r="N19" s="4">
        <v>88</v>
      </c>
      <c r="O19" s="4">
        <f t="shared" si="0"/>
        <v>-16</v>
      </c>
      <c r="P19" s="3">
        <v>-0.17599999999999999</v>
      </c>
      <c r="Q19" s="4">
        <v>15</v>
      </c>
      <c r="R19" s="3">
        <v>-0.496</v>
      </c>
      <c r="S19" s="4">
        <v>15.07</v>
      </c>
      <c r="T19" s="3">
        <v>8.0000000000000002E-3</v>
      </c>
      <c r="U19" s="4">
        <v>335</v>
      </c>
      <c r="V19" s="3">
        <v>-4.2000000000000003E-2</v>
      </c>
      <c r="W19" s="3">
        <v>0</v>
      </c>
      <c r="X19" s="3">
        <v>0</v>
      </c>
      <c r="Y19" s="3">
        <v>0.02</v>
      </c>
      <c r="Z19" s="3">
        <v>0.02</v>
      </c>
      <c r="AA19" s="3">
        <v>0</v>
      </c>
      <c r="AB19" s="3">
        <v>0.02</v>
      </c>
      <c r="AC19" s="3">
        <v>0.02</v>
      </c>
      <c r="AD19" s="3">
        <v>0</v>
      </c>
      <c r="AE19" s="3">
        <v>0</v>
      </c>
      <c r="AF19" s="3">
        <v>0</v>
      </c>
      <c r="AG19" s="3">
        <v>0</v>
      </c>
      <c r="AH19" s="3">
        <v>0.26200000000000001</v>
      </c>
      <c r="AI19" s="3">
        <v>0.26300000000000001</v>
      </c>
      <c r="AJ19" s="3">
        <v>-1E-3</v>
      </c>
      <c r="AK19" s="3">
        <v>0</v>
      </c>
      <c r="AL19" s="4">
        <v>0</v>
      </c>
    </row>
    <row r="20" spans="1:38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0.24099999999999999</v>
      </c>
      <c r="F20" s="3">
        <v>5.6000000000000001E-2</v>
      </c>
      <c r="G20" s="3">
        <v>2.4380000000000002</v>
      </c>
      <c r="H20" s="3">
        <v>2.302</v>
      </c>
      <c r="I20" s="4">
        <v>3</v>
      </c>
      <c r="J20" s="3">
        <v>0.5</v>
      </c>
      <c r="K20" s="4">
        <v>37</v>
      </c>
      <c r="L20" s="4">
        <v>1</v>
      </c>
      <c r="M20" s="4">
        <v>454</v>
      </c>
      <c r="N20" s="4">
        <v>169</v>
      </c>
      <c r="O20" s="4">
        <f t="shared" si="0"/>
        <v>285</v>
      </c>
      <c r="P20" s="3">
        <v>1.6779999999999999</v>
      </c>
      <c r="Q20" s="4">
        <v>413</v>
      </c>
      <c r="R20" s="3">
        <v>1.9810000000000001</v>
      </c>
      <c r="S20" s="4">
        <v>137.63999999999999</v>
      </c>
      <c r="T20" s="3">
        <v>0.14599999999999999</v>
      </c>
      <c r="U20" s="4">
        <v>1191</v>
      </c>
      <c r="V20" s="3">
        <v>0.248</v>
      </c>
      <c r="W20" s="3">
        <v>0</v>
      </c>
      <c r="X20" s="3">
        <v>0</v>
      </c>
      <c r="Y20" s="3">
        <v>0.108</v>
      </c>
      <c r="Z20" s="3">
        <v>0.108</v>
      </c>
      <c r="AA20" s="3">
        <v>0</v>
      </c>
      <c r="AB20" s="3">
        <v>0.108</v>
      </c>
      <c r="AC20" s="3">
        <v>0.108</v>
      </c>
      <c r="AD20" s="3">
        <v>0</v>
      </c>
      <c r="AE20" s="3">
        <v>0</v>
      </c>
      <c r="AF20" s="3">
        <v>0</v>
      </c>
      <c r="AG20" s="3">
        <v>0</v>
      </c>
      <c r="AH20" s="3">
        <v>0.308</v>
      </c>
      <c r="AI20" s="3">
        <v>0.308</v>
      </c>
      <c r="AJ20" s="3">
        <v>-1E-3</v>
      </c>
      <c r="AK20" s="3">
        <v>0</v>
      </c>
      <c r="AL20" s="4">
        <v>0</v>
      </c>
    </row>
    <row r="21" spans="1:38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1.038</v>
      </c>
      <c r="F21" s="3">
        <v>0</v>
      </c>
      <c r="G21" s="3">
        <v>0</v>
      </c>
      <c r="H21" s="3">
        <v>0</v>
      </c>
      <c r="I21" s="4">
        <v>0</v>
      </c>
      <c r="J21" s="8"/>
      <c r="K21" s="4">
        <v>30</v>
      </c>
      <c r="L21" s="4">
        <v>0</v>
      </c>
      <c r="M21" s="4">
        <v>475</v>
      </c>
      <c r="N21" s="4">
        <v>458</v>
      </c>
      <c r="O21" s="4">
        <f t="shared" si="0"/>
        <v>17</v>
      </c>
      <c r="P21" s="3">
        <v>3.7999999999999999E-2</v>
      </c>
      <c r="Q21" s="4">
        <v>0</v>
      </c>
      <c r="R21" s="8"/>
      <c r="S21" s="8"/>
      <c r="T21" s="8"/>
      <c r="U21" s="4">
        <v>550</v>
      </c>
      <c r="V21" s="3">
        <v>-8.4000000000000005E-2</v>
      </c>
      <c r="W21" s="3">
        <v>0</v>
      </c>
      <c r="X21" s="3">
        <v>0</v>
      </c>
      <c r="Y21" s="3">
        <v>4.8000000000000001E-2</v>
      </c>
      <c r="Z21" s="3">
        <v>4.8000000000000001E-2</v>
      </c>
      <c r="AA21" s="3">
        <v>0</v>
      </c>
      <c r="AB21" s="3">
        <v>4.8000000000000001E-2</v>
      </c>
      <c r="AC21" s="3">
        <v>4.8000000000000001E-2</v>
      </c>
      <c r="AD21" s="3">
        <v>0</v>
      </c>
      <c r="AE21" s="8"/>
      <c r="AF21" s="8"/>
      <c r="AG21" s="8"/>
      <c r="AH21" s="3">
        <v>0.29799999999999999</v>
      </c>
      <c r="AI21" s="3">
        <v>0.29799999999999999</v>
      </c>
      <c r="AJ21" s="3">
        <v>0</v>
      </c>
      <c r="AK21" s="3">
        <v>0</v>
      </c>
      <c r="AL21" s="4">
        <v>0</v>
      </c>
    </row>
    <row r="22" spans="1:38" x14ac:dyDescent="0.25">
      <c r="A22" s="12" t="s">
        <v>37</v>
      </c>
      <c r="B22" s="12" t="s">
        <v>48</v>
      </c>
      <c r="C22" s="5" t="s">
        <v>42</v>
      </c>
      <c r="D22" s="5"/>
      <c r="E22" s="6">
        <v>0.54700000000000004</v>
      </c>
      <c r="F22" s="6">
        <v>3.2000000000000001E-2</v>
      </c>
      <c r="G22" s="6">
        <v>0.58099999999999996</v>
      </c>
      <c r="H22" s="6">
        <v>0.41299999999999998</v>
      </c>
      <c r="I22" s="7">
        <v>5</v>
      </c>
      <c r="J22" s="6">
        <v>0</v>
      </c>
      <c r="K22" s="7">
        <v>189</v>
      </c>
      <c r="L22" s="7">
        <v>-1</v>
      </c>
      <c r="M22" s="7">
        <v>1107</v>
      </c>
      <c r="N22" s="7">
        <v>982</v>
      </c>
      <c r="O22" s="4">
        <f t="shared" si="0"/>
        <v>125</v>
      </c>
      <c r="P22" s="6">
        <v>0.128</v>
      </c>
      <c r="Q22" s="7">
        <v>570</v>
      </c>
      <c r="R22" s="6">
        <v>0.53900000000000003</v>
      </c>
      <c r="S22" s="7">
        <v>138.62</v>
      </c>
      <c r="T22" s="6">
        <v>0.20499999999999999</v>
      </c>
      <c r="U22" s="7">
        <v>2575</v>
      </c>
      <c r="V22" s="6">
        <v>0.161</v>
      </c>
      <c r="W22" s="6">
        <v>0</v>
      </c>
      <c r="X22" s="6">
        <v>0</v>
      </c>
      <c r="Y22" s="6">
        <v>5.8999999999999997E-2</v>
      </c>
      <c r="Z22" s="6">
        <v>7.9000000000000001E-2</v>
      </c>
      <c r="AA22" s="6">
        <v>-0.02</v>
      </c>
      <c r="AB22" s="6">
        <v>5.8999999999999997E-2</v>
      </c>
      <c r="AC22" s="6">
        <v>7.9000000000000001E-2</v>
      </c>
      <c r="AD22" s="6">
        <v>-0.02</v>
      </c>
      <c r="AE22" s="6">
        <v>0</v>
      </c>
      <c r="AF22" s="6">
        <v>0</v>
      </c>
      <c r="AG22" s="6">
        <v>0</v>
      </c>
      <c r="AH22" s="6">
        <v>0.26600000000000001</v>
      </c>
      <c r="AI22" s="6">
        <v>0.29399999999999998</v>
      </c>
      <c r="AJ22" s="6">
        <v>-2.8000000000000001E-2</v>
      </c>
      <c r="AK22" s="6">
        <v>0</v>
      </c>
      <c r="AL22" s="7">
        <v>0</v>
      </c>
    </row>
    <row r="23" spans="1:38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1.0049999999999999</v>
      </c>
      <c r="F23" s="3">
        <v>5.0999999999999997E-2</v>
      </c>
      <c r="G23" s="3">
        <v>0.254</v>
      </c>
      <c r="H23" s="3">
        <v>0.254</v>
      </c>
      <c r="I23" s="4">
        <v>3</v>
      </c>
      <c r="J23" s="3">
        <v>0.5</v>
      </c>
      <c r="K23" s="4">
        <v>59</v>
      </c>
      <c r="L23" s="4">
        <v>0</v>
      </c>
      <c r="M23" s="4">
        <v>5758</v>
      </c>
      <c r="N23" s="4">
        <v>4574</v>
      </c>
      <c r="O23" s="4">
        <f t="shared" si="0"/>
        <v>1184</v>
      </c>
      <c r="P23" s="3">
        <v>0.25900000000000001</v>
      </c>
      <c r="Q23" s="4">
        <v>1162</v>
      </c>
      <c r="R23" s="3">
        <v>3.4049999999999998</v>
      </c>
      <c r="S23" s="4">
        <v>387.27</v>
      </c>
      <c r="T23" s="3">
        <v>1.9370000000000001</v>
      </c>
      <c r="U23" s="4">
        <v>5132</v>
      </c>
      <c r="V23" s="3">
        <v>0.129</v>
      </c>
      <c r="W23" s="3">
        <v>0</v>
      </c>
      <c r="X23" s="3">
        <v>0.65</v>
      </c>
      <c r="Y23" s="3">
        <v>0.69199999999999995</v>
      </c>
      <c r="Z23" s="3">
        <v>0.22600000000000001</v>
      </c>
      <c r="AA23" s="3">
        <v>0.46600000000000003</v>
      </c>
      <c r="AB23" s="3">
        <v>0.69199999999999995</v>
      </c>
      <c r="AC23" s="3">
        <v>0.22600000000000001</v>
      </c>
      <c r="AD23" s="3">
        <v>0.46600000000000003</v>
      </c>
      <c r="AE23" s="3">
        <v>0.29399999999999998</v>
      </c>
      <c r="AF23" s="3">
        <v>0</v>
      </c>
      <c r="AG23" s="3">
        <v>0.29399999999999998</v>
      </c>
      <c r="AH23" s="3">
        <v>0.80600000000000005</v>
      </c>
      <c r="AI23" s="3">
        <v>0.35399999999999998</v>
      </c>
      <c r="AJ23" s="3">
        <v>0.45100000000000001</v>
      </c>
      <c r="AK23" s="3">
        <v>0</v>
      </c>
      <c r="AL23" s="4">
        <v>0</v>
      </c>
    </row>
    <row r="24" spans="1:38" x14ac:dyDescent="0.25">
      <c r="A24" s="12" t="s">
        <v>37</v>
      </c>
      <c r="B24" s="12" t="s">
        <v>59</v>
      </c>
      <c r="C24" s="5" t="s">
        <v>42</v>
      </c>
      <c r="D24" s="5"/>
      <c r="E24" s="6">
        <v>1.0049999999999999</v>
      </c>
      <c r="F24" s="6">
        <v>5.0999999999999997E-2</v>
      </c>
      <c r="G24" s="6">
        <v>0.254</v>
      </c>
      <c r="H24" s="6">
        <v>0.254</v>
      </c>
      <c r="I24" s="7">
        <v>3</v>
      </c>
      <c r="J24" s="6">
        <v>0.5</v>
      </c>
      <c r="K24" s="7">
        <v>59</v>
      </c>
      <c r="L24" s="7">
        <v>0</v>
      </c>
      <c r="M24" s="7">
        <v>5758</v>
      </c>
      <c r="N24" s="7">
        <v>4574</v>
      </c>
      <c r="O24" s="4">
        <f t="shared" si="0"/>
        <v>1184</v>
      </c>
      <c r="P24" s="6">
        <v>0.25900000000000001</v>
      </c>
      <c r="Q24" s="7">
        <v>1162</v>
      </c>
      <c r="R24" s="6">
        <v>3.4049999999999998</v>
      </c>
      <c r="S24" s="7">
        <v>387.27</v>
      </c>
      <c r="T24" s="6">
        <v>1.9370000000000001</v>
      </c>
      <c r="U24" s="7">
        <v>5132</v>
      </c>
      <c r="V24" s="6">
        <v>0.129</v>
      </c>
      <c r="W24" s="6">
        <v>0</v>
      </c>
      <c r="X24" s="6">
        <v>0.65</v>
      </c>
      <c r="Y24" s="6">
        <v>0.69199999999999995</v>
      </c>
      <c r="Z24" s="6">
        <v>0.22600000000000001</v>
      </c>
      <c r="AA24" s="6">
        <v>0.46600000000000003</v>
      </c>
      <c r="AB24" s="6">
        <v>0.69199999999999995</v>
      </c>
      <c r="AC24" s="6">
        <v>0.22600000000000001</v>
      </c>
      <c r="AD24" s="6">
        <v>0.46600000000000003</v>
      </c>
      <c r="AE24" s="6">
        <v>0.29399999999999998</v>
      </c>
      <c r="AF24" s="6">
        <v>0</v>
      </c>
      <c r="AG24" s="6">
        <v>0.29399999999999998</v>
      </c>
      <c r="AH24" s="6">
        <v>0.80600000000000005</v>
      </c>
      <c r="AI24" s="6">
        <v>0.35399999999999998</v>
      </c>
      <c r="AJ24" s="6">
        <v>0.45100000000000001</v>
      </c>
      <c r="AK24" s="6">
        <v>0</v>
      </c>
      <c r="AL24" s="7">
        <v>0</v>
      </c>
    </row>
    <row r="25" spans="1:38" x14ac:dyDescent="0.25">
      <c r="A25" s="12" t="s">
        <v>37</v>
      </c>
      <c r="B25" s="5" t="s">
        <v>42</v>
      </c>
      <c r="C25" s="5"/>
      <c r="D25" s="5"/>
      <c r="E25" s="6">
        <v>0.996</v>
      </c>
      <c r="F25" s="6">
        <v>2.1999999999999999E-2</v>
      </c>
      <c r="G25" s="6">
        <v>7.1999999999999995E-2</v>
      </c>
      <c r="H25" s="6">
        <v>5.6000000000000001E-2</v>
      </c>
      <c r="I25" s="7">
        <v>83</v>
      </c>
      <c r="J25" s="6">
        <v>0.107</v>
      </c>
      <c r="K25" s="7">
        <v>3615</v>
      </c>
      <c r="L25" s="7">
        <v>4</v>
      </c>
      <c r="M25" s="7">
        <v>335828</v>
      </c>
      <c r="N25" s="7">
        <v>314296</v>
      </c>
      <c r="O25" s="4">
        <f t="shared" si="0"/>
        <v>21532</v>
      </c>
      <c r="P25" s="6">
        <v>6.9000000000000006E-2</v>
      </c>
      <c r="Q25" s="7">
        <v>22660</v>
      </c>
      <c r="R25" s="6">
        <v>8.3000000000000004E-2</v>
      </c>
      <c r="S25" s="7">
        <v>275.95999999999998</v>
      </c>
      <c r="T25" s="6">
        <v>-0.06</v>
      </c>
      <c r="U25" s="7">
        <v>183668</v>
      </c>
      <c r="V25" s="6">
        <v>2.1000000000000001E-2</v>
      </c>
      <c r="W25" s="6">
        <v>7.0000000000000001E-3</v>
      </c>
      <c r="X25" s="6">
        <v>0.68100000000000005</v>
      </c>
      <c r="Y25" s="6">
        <v>0.73699999999999999</v>
      </c>
      <c r="Z25" s="6">
        <v>0.55800000000000005</v>
      </c>
      <c r="AA25" s="6">
        <v>0.17799999999999999</v>
      </c>
      <c r="AB25" s="6">
        <v>0.73699999999999999</v>
      </c>
      <c r="AC25" s="6">
        <v>0.55400000000000005</v>
      </c>
      <c r="AD25" s="6">
        <v>0.183</v>
      </c>
      <c r="AE25" s="6">
        <v>0.752</v>
      </c>
      <c r="AF25" s="6">
        <v>0.13300000000000001</v>
      </c>
      <c r="AG25" s="6">
        <v>0.61899999999999999</v>
      </c>
      <c r="AH25" s="6">
        <v>0.84699999999999998</v>
      </c>
      <c r="AI25" s="6">
        <v>0.66900000000000004</v>
      </c>
      <c r="AJ25" s="6">
        <v>0.17799999999999999</v>
      </c>
      <c r="AK25" s="6">
        <v>0</v>
      </c>
      <c r="AL25" s="7">
        <v>0</v>
      </c>
    </row>
    <row r="26" spans="1:38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0.74299999999999999</v>
      </c>
      <c r="F26" s="3">
        <v>3.4000000000000002E-2</v>
      </c>
      <c r="G26" s="3">
        <v>2.4E-2</v>
      </c>
      <c r="H26" s="3">
        <v>0</v>
      </c>
      <c r="I26" s="4">
        <v>1</v>
      </c>
      <c r="J26" s="3">
        <v>-0.75</v>
      </c>
      <c r="K26" s="4">
        <v>85</v>
      </c>
      <c r="L26" s="4">
        <v>-2</v>
      </c>
      <c r="M26" s="4">
        <v>1101</v>
      </c>
      <c r="N26" s="4">
        <v>1437</v>
      </c>
      <c r="O26" s="4">
        <f t="shared" si="0"/>
        <v>-336</v>
      </c>
      <c r="P26" s="3">
        <v>-0.23400000000000001</v>
      </c>
      <c r="Q26" s="4">
        <v>34</v>
      </c>
      <c r="R26" s="3">
        <v>-0.95099999999999996</v>
      </c>
      <c r="S26" s="4">
        <v>33.92</v>
      </c>
      <c r="T26" s="3">
        <v>-0.84499999999999997</v>
      </c>
      <c r="U26" s="4">
        <v>1284</v>
      </c>
      <c r="V26" s="3">
        <v>-0.23200000000000001</v>
      </c>
      <c r="W26" s="3">
        <v>0</v>
      </c>
      <c r="X26" s="3">
        <v>0</v>
      </c>
      <c r="Y26" s="3">
        <v>0.26</v>
      </c>
      <c r="Z26" s="3">
        <v>0.26</v>
      </c>
      <c r="AA26" s="3">
        <v>0</v>
      </c>
      <c r="AB26" s="3">
        <v>0.26</v>
      </c>
      <c r="AC26" s="3">
        <v>0.26</v>
      </c>
      <c r="AD26" s="3">
        <v>0</v>
      </c>
      <c r="AE26" s="3">
        <v>0</v>
      </c>
      <c r="AF26" s="3">
        <v>0</v>
      </c>
      <c r="AG26" s="3">
        <v>0</v>
      </c>
      <c r="AH26" s="3">
        <v>0.45200000000000001</v>
      </c>
      <c r="AI26" s="3">
        <v>0.443</v>
      </c>
      <c r="AJ26" s="3">
        <v>8.9999999999999993E-3</v>
      </c>
      <c r="AK26" s="3">
        <v>0</v>
      </c>
      <c r="AL26" s="4">
        <v>0</v>
      </c>
    </row>
    <row r="27" spans="1:38" x14ac:dyDescent="0.25">
      <c r="A27" s="12" t="s">
        <v>61</v>
      </c>
      <c r="B27" s="12" t="s">
        <v>39</v>
      </c>
      <c r="C27" s="5" t="s">
        <v>42</v>
      </c>
      <c r="D27" s="5"/>
      <c r="E27" s="6">
        <v>0.74299999999999999</v>
      </c>
      <c r="F27" s="6">
        <v>3.4000000000000002E-2</v>
      </c>
      <c r="G27" s="6">
        <v>2.4E-2</v>
      </c>
      <c r="H27" s="6">
        <v>0</v>
      </c>
      <c r="I27" s="7">
        <v>1</v>
      </c>
      <c r="J27" s="6">
        <v>-0.75</v>
      </c>
      <c r="K27" s="7">
        <v>85</v>
      </c>
      <c r="L27" s="7">
        <v>-2</v>
      </c>
      <c r="M27" s="7">
        <v>1101</v>
      </c>
      <c r="N27" s="7">
        <v>1437</v>
      </c>
      <c r="O27" s="4">
        <f t="shared" si="0"/>
        <v>-336</v>
      </c>
      <c r="P27" s="6">
        <v>-0.23400000000000001</v>
      </c>
      <c r="Q27" s="7">
        <v>34</v>
      </c>
      <c r="R27" s="6">
        <v>-0.95099999999999996</v>
      </c>
      <c r="S27" s="7">
        <v>33.92</v>
      </c>
      <c r="T27" s="6">
        <v>-0.84499999999999997</v>
      </c>
      <c r="U27" s="7">
        <v>1284</v>
      </c>
      <c r="V27" s="6">
        <v>-0.23200000000000001</v>
      </c>
      <c r="W27" s="6">
        <v>0</v>
      </c>
      <c r="X27" s="6">
        <v>0</v>
      </c>
      <c r="Y27" s="6">
        <v>0.26</v>
      </c>
      <c r="Z27" s="6">
        <v>0.26</v>
      </c>
      <c r="AA27" s="6">
        <v>0</v>
      </c>
      <c r="AB27" s="6">
        <v>0.26</v>
      </c>
      <c r="AC27" s="6">
        <v>0.26</v>
      </c>
      <c r="AD27" s="6">
        <v>0</v>
      </c>
      <c r="AE27" s="6">
        <v>0</v>
      </c>
      <c r="AF27" s="6">
        <v>0</v>
      </c>
      <c r="AG27" s="6">
        <v>0</v>
      </c>
      <c r="AH27" s="6">
        <v>0.45200000000000001</v>
      </c>
      <c r="AI27" s="6">
        <v>0.443</v>
      </c>
      <c r="AJ27" s="6">
        <v>8.9999999999999993E-3</v>
      </c>
      <c r="AK27" s="6">
        <v>0</v>
      </c>
      <c r="AL27" s="7">
        <v>0</v>
      </c>
    </row>
    <row r="28" spans="1:38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0.51500000000000001</v>
      </c>
      <c r="F28" s="3">
        <v>1.6E-2</v>
      </c>
      <c r="G28" s="3">
        <v>1.415</v>
      </c>
      <c r="H28" s="3">
        <v>1.415</v>
      </c>
      <c r="I28" s="4">
        <v>10</v>
      </c>
      <c r="J28" s="3">
        <v>0.66700000000000004</v>
      </c>
      <c r="K28" s="4">
        <v>71</v>
      </c>
      <c r="L28" s="4">
        <v>9</v>
      </c>
      <c r="M28" s="4">
        <v>7295</v>
      </c>
      <c r="N28" s="4">
        <v>3779</v>
      </c>
      <c r="O28" s="4">
        <f t="shared" si="0"/>
        <v>3516</v>
      </c>
      <c r="P28" s="3">
        <v>0.93100000000000005</v>
      </c>
      <c r="Q28" s="4">
        <v>5349</v>
      </c>
      <c r="R28" s="3">
        <v>0.35499999999999998</v>
      </c>
      <c r="S28" s="4">
        <v>534.86</v>
      </c>
      <c r="T28" s="3">
        <v>-0.187</v>
      </c>
      <c r="U28" s="4">
        <v>4147</v>
      </c>
      <c r="V28" s="3">
        <v>-0.24199999999999999</v>
      </c>
      <c r="W28" s="3">
        <v>1.7000000000000001E-2</v>
      </c>
      <c r="X28" s="3">
        <v>7.6999999999999999E-2</v>
      </c>
      <c r="Y28" s="3">
        <v>0.16400000000000001</v>
      </c>
      <c r="Z28" s="3">
        <v>0.59399999999999997</v>
      </c>
      <c r="AA28" s="3">
        <v>-0.42899999999999999</v>
      </c>
      <c r="AB28" s="3">
        <v>0.16400000000000001</v>
      </c>
      <c r="AC28" s="3">
        <v>0.59399999999999997</v>
      </c>
      <c r="AD28" s="3">
        <v>-0.42899999999999999</v>
      </c>
      <c r="AE28" s="3">
        <v>0</v>
      </c>
      <c r="AF28" s="3">
        <v>0</v>
      </c>
      <c r="AG28" s="3">
        <v>0</v>
      </c>
      <c r="AH28" s="3">
        <v>0.23400000000000001</v>
      </c>
      <c r="AI28" s="3">
        <v>0.66400000000000003</v>
      </c>
      <c r="AJ28" s="3">
        <v>-0.43</v>
      </c>
      <c r="AK28" s="3">
        <v>0</v>
      </c>
      <c r="AL28" s="4">
        <v>0</v>
      </c>
    </row>
    <row r="29" spans="1:38" x14ac:dyDescent="0.25">
      <c r="A29" s="12" t="s">
        <v>61</v>
      </c>
      <c r="B29" s="12" t="s">
        <v>43</v>
      </c>
      <c r="C29" s="5" t="s">
        <v>42</v>
      </c>
      <c r="D29" s="5"/>
      <c r="E29" s="6">
        <v>0.51500000000000001</v>
      </c>
      <c r="F29" s="6">
        <v>1.6E-2</v>
      </c>
      <c r="G29" s="6">
        <v>1.415</v>
      </c>
      <c r="H29" s="6">
        <v>1.415</v>
      </c>
      <c r="I29" s="7">
        <v>10</v>
      </c>
      <c r="J29" s="6">
        <v>0.66700000000000004</v>
      </c>
      <c r="K29" s="7">
        <v>71</v>
      </c>
      <c r="L29" s="7">
        <v>9</v>
      </c>
      <c r="M29" s="7">
        <v>7295</v>
      </c>
      <c r="N29" s="7">
        <v>3779</v>
      </c>
      <c r="O29" s="4">
        <f t="shared" si="0"/>
        <v>3516</v>
      </c>
      <c r="P29" s="6">
        <v>0.93100000000000005</v>
      </c>
      <c r="Q29" s="7">
        <v>5349</v>
      </c>
      <c r="R29" s="6">
        <v>0.35499999999999998</v>
      </c>
      <c r="S29" s="7">
        <v>534.86</v>
      </c>
      <c r="T29" s="6">
        <v>-0.187</v>
      </c>
      <c r="U29" s="7">
        <v>4147</v>
      </c>
      <c r="V29" s="6">
        <v>-0.24199999999999999</v>
      </c>
      <c r="W29" s="6">
        <v>1.7000000000000001E-2</v>
      </c>
      <c r="X29" s="6">
        <v>7.6999999999999999E-2</v>
      </c>
      <c r="Y29" s="6">
        <v>0.16400000000000001</v>
      </c>
      <c r="Z29" s="6">
        <v>0.59399999999999997</v>
      </c>
      <c r="AA29" s="6">
        <v>-0.42899999999999999</v>
      </c>
      <c r="AB29" s="6">
        <v>0.16400000000000001</v>
      </c>
      <c r="AC29" s="6">
        <v>0.59399999999999997</v>
      </c>
      <c r="AD29" s="6">
        <v>-0.42899999999999999</v>
      </c>
      <c r="AE29" s="6">
        <v>0</v>
      </c>
      <c r="AF29" s="6">
        <v>0</v>
      </c>
      <c r="AG29" s="6">
        <v>0</v>
      </c>
      <c r="AH29" s="6">
        <v>0.23400000000000001</v>
      </c>
      <c r="AI29" s="6">
        <v>0.66400000000000003</v>
      </c>
      <c r="AJ29" s="6">
        <v>-0.43</v>
      </c>
      <c r="AK29" s="6">
        <v>0</v>
      </c>
      <c r="AL29" s="7">
        <v>0</v>
      </c>
    </row>
    <row r="30" spans="1:38" x14ac:dyDescent="0.25">
      <c r="A30" s="12" t="s">
        <v>61</v>
      </c>
      <c r="B30" s="12" t="s">
        <v>64</v>
      </c>
      <c r="C30" s="2" t="s">
        <v>65</v>
      </c>
      <c r="D30" s="2" t="s">
        <v>65</v>
      </c>
      <c r="E30" s="3">
        <v>0.90900000000000003</v>
      </c>
      <c r="F30" s="3">
        <v>4.1000000000000002E-2</v>
      </c>
      <c r="G30" s="3">
        <v>0.50800000000000001</v>
      </c>
      <c r="H30" s="3">
        <v>0.50800000000000001</v>
      </c>
      <c r="I30" s="4">
        <v>2</v>
      </c>
      <c r="J30" s="3">
        <v>0</v>
      </c>
      <c r="K30" s="4">
        <v>49</v>
      </c>
      <c r="L30" s="4">
        <v>0</v>
      </c>
      <c r="M30" s="4">
        <v>2895</v>
      </c>
      <c r="N30" s="4">
        <v>2044</v>
      </c>
      <c r="O30" s="4">
        <f t="shared" si="0"/>
        <v>851</v>
      </c>
      <c r="P30" s="3">
        <v>0.41699999999999998</v>
      </c>
      <c r="Q30" s="4">
        <v>1038</v>
      </c>
      <c r="R30" s="3">
        <v>-0.25800000000000001</v>
      </c>
      <c r="S30" s="4">
        <v>518.79999999999995</v>
      </c>
      <c r="T30" s="3">
        <v>-0.25800000000000001</v>
      </c>
      <c r="U30" s="4">
        <v>8363</v>
      </c>
      <c r="V30" s="3">
        <v>-0.06</v>
      </c>
      <c r="W30" s="3">
        <v>8.0000000000000002E-3</v>
      </c>
      <c r="X30" s="3">
        <v>0.30299999999999999</v>
      </c>
      <c r="Y30" s="3">
        <v>0.44700000000000001</v>
      </c>
      <c r="Z30" s="3">
        <v>0.4</v>
      </c>
      <c r="AA30" s="3">
        <v>4.7E-2</v>
      </c>
      <c r="AB30" s="3">
        <v>0.44700000000000001</v>
      </c>
      <c r="AC30" s="3">
        <v>0.39500000000000002</v>
      </c>
      <c r="AD30" s="3">
        <v>5.1999999999999998E-2</v>
      </c>
      <c r="AE30" s="3">
        <v>0</v>
      </c>
      <c r="AF30" s="3">
        <v>0</v>
      </c>
      <c r="AG30" s="3">
        <v>0</v>
      </c>
      <c r="AH30" s="3">
        <v>0.64900000000000002</v>
      </c>
      <c r="AI30" s="3">
        <v>0.60199999999999998</v>
      </c>
      <c r="AJ30" s="3">
        <v>4.7E-2</v>
      </c>
      <c r="AK30" s="3">
        <v>0</v>
      </c>
      <c r="AL30" s="4">
        <v>0</v>
      </c>
    </row>
    <row r="31" spans="1:38" x14ac:dyDescent="0.25">
      <c r="A31" s="12" t="s">
        <v>61</v>
      </c>
      <c r="B31" s="12" t="s">
        <v>64</v>
      </c>
      <c r="C31" s="5" t="s">
        <v>42</v>
      </c>
      <c r="D31" s="5"/>
      <c r="E31" s="6">
        <v>0.90900000000000003</v>
      </c>
      <c r="F31" s="6">
        <v>4.1000000000000002E-2</v>
      </c>
      <c r="G31" s="6">
        <v>0.50800000000000001</v>
      </c>
      <c r="H31" s="6">
        <v>0.50800000000000001</v>
      </c>
      <c r="I31" s="7">
        <v>2</v>
      </c>
      <c r="J31" s="6">
        <v>0</v>
      </c>
      <c r="K31" s="7">
        <v>49</v>
      </c>
      <c r="L31" s="7">
        <v>0</v>
      </c>
      <c r="M31" s="7">
        <v>2895</v>
      </c>
      <c r="N31" s="7">
        <v>2044</v>
      </c>
      <c r="O31" s="4">
        <f t="shared" si="0"/>
        <v>851</v>
      </c>
      <c r="P31" s="6">
        <v>0.41699999999999998</v>
      </c>
      <c r="Q31" s="7">
        <v>1038</v>
      </c>
      <c r="R31" s="6">
        <v>-0.25800000000000001</v>
      </c>
      <c r="S31" s="7">
        <v>518.79999999999995</v>
      </c>
      <c r="T31" s="6">
        <v>-0.25800000000000001</v>
      </c>
      <c r="U31" s="7">
        <v>8363</v>
      </c>
      <c r="V31" s="6">
        <v>-0.06</v>
      </c>
      <c r="W31" s="6">
        <v>8.0000000000000002E-3</v>
      </c>
      <c r="X31" s="6">
        <v>0.30299999999999999</v>
      </c>
      <c r="Y31" s="6">
        <v>0.44700000000000001</v>
      </c>
      <c r="Z31" s="6">
        <v>0.4</v>
      </c>
      <c r="AA31" s="6">
        <v>4.7E-2</v>
      </c>
      <c r="AB31" s="6">
        <v>0.44700000000000001</v>
      </c>
      <c r="AC31" s="6">
        <v>0.39500000000000002</v>
      </c>
      <c r="AD31" s="6">
        <v>5.1999999999999998E-2</v>
      </c>
      <c r="AE31" s="6">
        <v>0</v>
      </c>
      <c r="AF31" s="6">
        <v>0</v>
      </c>
      <c r="AG31" s="6">
        <v>0</v>
      </c>
      <c r="AH31" s="6">
        <v>0.64900000000000002</v>
      </c>
      <c r="AI31" s="6">
        <v>0.60199999999999998</v>
      </c>
      <c r="AJ31" s="6">
        <v>4.7E-2</v>
      </c>
      <c r="AK31" s="6">
        <v>0</v>
      </c>
      <c r="AL31" s="7">
        <v>0</v>
      </c>
    </row>
    <row r="32" spans="1:38" x14ac:dyDescent="0.25">
      <c r="A32" s="12" t="s">
        <v>61</v>
      </c>
      <c r="B32" s="12" t="s">
        <v>66</v>
      </c>
      <c r="C32" s="2" t="s">
        <v>55</v>
      </c>
      <c r="D32" s="2" t="s">
        <v>67</v>
      </c>
      <c r="E32" s="3">
        <v>0.81100000000000005</v>
      </c>
      <c r="F32" s="3">
        <v>0</v>
      </c>
      <c r="G32" s="3">
        <v>0.374</v>
      </c>
      <c r="H32" s="3">
        <v>0.374</v>
      </c>
      <c r="I32" s="4">
        <v>1</v>
      </c>
      <c r="J32" s="3">
        <v>-0.5</v>
      </c>
      <c r="K32" s="4">
        <v>49</v>
      </c>
      <c r="L32" s="4">
        <v>1</v>
      </c>
      <c r="M32" s="4">
        <v>5523</v>
      </c>
      <c r="N32" s="4">
        <v>4659</v>
      </c>
      <c r="O32" s="4">
        <f t="shared" si="0"/>
        <v>864</v>
      </c>
      <c r="P32" s="3">
        <v>0.186</v>
      </c>
      <c r="Q32" s="4">
        <v>1743</v>
      </c>
      <c r="R32" s="3">
        <v>0.54800000000000004</v>
      </c>
      <c r="S32" s="4">
        <v>1743.17</v>
      </c>
      <c r="T32" s="3">
        <v>2.097</v>
      </c>
      <c r="U32" s="4">
        <v>9229</v>
      </c>
      <c r="V32" s="3">
        <v>-2.5000000000000001E-2</v>
      </c>
      <c r="W32" s="3">
        <v>1.7000000000000001E-2</v>
      </c>
      <c r="X32" s="3">
        <v>0</v>
      </c>
      <c r="Y32" s="3">
        <v>0.39400000000000002</v>
      </c>
      <c r="Z32" s="3">
        <v>0.39400000000000002</v>
      </c>
      <c r="AA32" s="3">
        <v>0</v>
      </c>
      <c r="AB32" s="3">
        <v>0.39400000000000002</v>
      </c>
      <c r="AC32" s="3">
        <v>0.39400000000000002</v>
      </c>
      <c r="AD32" s="3">
        <v>0</v>
      </c>
      <c r="AE32" s="3">
        <v>0</v>
      </c>
      <c r="AF32" s="3">
        <v>0</v>
      </c>
      <c r="AG32" s="3">
        <v>0</v>
      </c>
      <c r="AH32" s="3">
        <v>0.59699999999999998</v>
      </c>
      <c r="AI32" s="3">
        <v>0.59</v>
      </c>
      <c r="AJ32" s="3">
        <v>7.0000000000000001E-3</v>
      </c>
      <c r="AK32" s="3">
        <v>0</v>
      </c>
      <c r="AL32" s="4">
        <v>0</v>
      </c>
    </row>
    <row r="33" spans="1:38" x14ac:dyDescent="0.25">
      <c r="A33" s="12" t="s">
        <v>61</v>
      </c>
      <c r="B33" s="12" t="s">
        <v>66</v>
      </c>
      <c r="C33" s="5" t="s">
        <v>42</v>
      </c>
      <c r="D33" s="5"/>
      <c r="E33" s="6">
        <v>0.81100000000000005</v>
      </c>
      <c r="F33" s="6">
        <v>0</v>
      </c>
      <c r="G33" s="6">
        <v>0.374</v>
      </c>
      <c r="H33" s="6">
        <v>0.374</v>
      </c>
      <c r="I33" s="7">
        <v>1</v>
      </c>
      <c r="J33" s="6">
        <v>-0.5</v>
      </c>
      <c r="K33" s="7">
        <v>49</v>
      </c>
      <c r="L33" s="7">
        <v>1</v>
      </c>
      <c r="M33" s="7">
        <v>5523</v>
      </c>
      <c r="N33" s="7">
        <v>4659</v>
      </c>
      <c r="O33" s="4">
        <f t="shared" si="0"/>
        <v>864</v>
      </c>
      <c r="P33" s="6">
        <v>0.186</v>
      </c>
      <c r="Q33" s="7">
        <v>1743</v>
      </c>
      <c r="R33" s="6">
        <v>0.54800000000000004</v>
      </c>
      <c r="S33" s="7">
        <v>1743.17</v>
      </c>
      <c r="T33" s="6">
        <v>2.097</v>
      </c>
      <c r="U33" s="7">
        <v>9229</v>
      </c>
      <c r="V33" s="6">
        <v>-2.5000000000000001E-2</v>
      </c>
      <c r="W33" s="6">
        <v>1.7000000000000001E-2</v>
      </c>
      <c r="X33" s="6">
        <v>0</v>
      </c>
      <c r="Y33" s="6">
        <v>0.39400000000000002</v>
      </c>
      <c r="Z33" s="6">
        <v>0.39400000000000002</v>
      </c>
      <c r="AA33" s="6">
        <v>0</v>
      </c>
      <c r="AB33" s="6">
        <v>0.39400000000000002</v>
      </c>
      <c r="AC33" s="6">
        <v>0.39400000000000002</v>
      </c>
      <c r="AD33" s="6">
        <v>0</v>
      </c>
      <c r="AE33" s="6">
        <v>0</v>
      </c>
      <c r="AF33" s="6">
        <v>0</v>
      </c>
      <c r="AG33" s="6">
        <v>0</v>
      </c>
      <c r="AH33" s="6">
        <v>0.59699999999999998</v>
      </c>
      <c r="AI33" s="6">
        <v>0.59</v>
      </c>
      <c r="AJ33" s="6">
        <v>7.0000000000000001E-3</v>
      </c>
      <c r="AK33" s="6">
        <v>0</v>
      </c>
      <c r="AL33" s="7">
        <v>0</v>
      </c>
    </row>
    <row r="34" spans="1:38" x14ac:dyDescent="0.25">
      <c r="A34" s="12" t="s">
        <v>61</v>
      </c>
      <c r="B34" s="12" t="s">
        <v>68</v>
      </c>
      <c r="C34" s="2" t="s">
        <v>69</v>
      </c>
      <c r="D34" s="2" t="s">
        <v>70</v>
      </c>
      <c r="E34" s="3">
        <v>1</v>
      </c>
      <c r="F34" s="3">
        <v>0</v>
      </c>
      <c r="G34" s="3">
        <v>0</v>
      </c>
      <c r="H34" s="3">
        <v>0</v>
      </c>
      <c r="I34" s="4">
        <v>0</v>
      </c>
      <c r="J34" s="3">
        <v>-1</v>
      </c>
      <c r="K34" s="4">
        <v>14</v>
      </c>
      <c r="L34" s="4">
        <v>0</v>
      </c>
      <c r="M34" s="4">
        <v>920</v>
      </c>
      <c r="N34" s="4">
        <v>920</v>
      </c>
      <c r="O34" s="4">
        <f t="shared" si="0"/>
        <v>0</v>
      </c>
      <c r="P34" s="3">
        <v>0</v>
      </c>
      <c r="Q34" s="4">
        <v>0</v>
      </c>
      <c r="R34" s="3">
        <v>-1</v>
      </c>
      <c r="S34" s="8"/>
      <c r="T34" s="8"/>
      <c r="U34" s="4">
        <v>1078</v>
      </c>
      <c r="V34" s="3">
        <v>8.0000000000000002E-3</v>
      </c>
      <c r="W34" s="3">
        <v>0</v>
      </c>
      <c r="X34" s="3">
        <v>0</v>
      </c>
      <c r="Y34" s="3">
        <v>0.19800000000000001</v>
      </c>
      <c r="Z34" s="3">
        <v>0.19700000000000001</v>
      </c>
      <c r="AA34" s="3">
        <v>1E-3</v>
      </c>
      <c r="AB34" s="3">
        <v>0.19800000000000001</v>
      </c>
      <c r="AC34" s="3">
        <v>0.19700000000000001</v>
      </c>
      <c r="AD34" s="3">
        <v>1E-3</v>
      </c>
      <c r="AE34" s="8"/>
      <c r="AF34" s="3">
        <v>0</v>
      </c>
      <c r="AG34" s="8"/>
      <c r="AH34" s="3">
        <v>0.34899999999999998</v>
      </c>
      <c r="AI34" s="3">
        <v>0.34699999999999998</v>
      </c>
      <c r="AJ34" s="3">
        <v>2E-3</v>
      </c>
      <c r="AK34" s="3">
        <v>0</v>
      </c>
      <c r="AL34" s="4">
        <v>0</v>
      </c>
    </row>
    <row r="35" spans="1:38" x14ac:dyDescent="0.25">
      <c r="A35" s="12" t="s">
        <v>61</v>
      </c>
      <c r="B35" s="12" t="s">
        <v>68</v>
      </c>
      <c r="C35" s="5" t="s">
        <v>42</v>
      </c>
      <c r="D35" s="5"/>
      <c r="E35" s="6">
        <v>1</v>
      </c>
      <c r="F35" s="6">
        <v>0</v>
      </c>
      <c r="G35" s="6">
        <v>0</v>
      </c>
      <c r="H35" s="6">
        <v>0</v>
      </c>
      <c r="I35" s="7">
        <v>0</v>
      </c>
      <c r="J35" s="6">
        <v>-1</v>
      </c>
      <c r="K35" s="7">
        <v>14</v>
      </c>
      <c r="L35" s="7">
        <v>0</v>
      </c>
      <c r="M35" s="7">
        <v>920</v>
      </c>
      <c r="N35" s="7">
        <v>920</v>
      </c>
      <c r="O35" s="4">
        <f t="shared" si="0"/>
        <v>0</v>
      </c>
      <c r="P35" s="6">
        <v>0</v>
      </c>
      <c r="Q35" s="7">
        <v>0</v>
      </c>
      <c r="R35" s="6">
        <v>-1</v>
      </c>
      <c r="S35" s="5"/>
      <c r="T35" s="5"/>
      <c r="U35" s="7">
        <v>1078</v>
      </c>
      <c r="V35" s="6">
        <v>8.0000000000000002E-3</v>
      </c>
      <c r="W35" s="6">
        <v>0</v>
      </c>
      <c r="X35" s="6">
        <v>0</v>
      </c>
      <c r="Y35" s="6">
        <v>0.19800000000000001</v>
      </c>
      <c r="Z35" s="6">
        <v>0.19700000000000001</v>
      </c>
      <c r="AA35" s="6">
        <v>1E-3</v>
      </c>
      <c r="AB35" s="6">
        <v>0.19800000000000001</v>
      </c>
      <c r="AC35" s="6">
        <v>0.19700000000000001</v>
      </c>
      <c r="AD35" s="6">
        <v>1E-3</v>
      </c>
      <c r="AE35" s="5"/>
      <c r="AF35" s="6">
        <v>0</v>
      </c>
      <c r="AG35" s="5"/>
      <c r="AH35" s="6">
        <v>0.34899999999999998</v>
      </c>
      <c r="AI35" s="6">
        <v>0.34699999999999998</v>
      </c>
      <c r="AJ35" s="6">
        <v>2E-3</v>
      </c>
      <c r="AK35" s="6">
        <v>0</v>
      </c>
      <c r="AL35" s="7">
        <v>0</v>
      </c>
    </row>
    <row r="36" spans="1:38" x14ac:dyDescent="0.25">
      <c r="A36" s="12" t="s">
        <v>61</v>
      </c>
      <c r="B36" s="12" t="s">
        <v>46</v>
      </c>
      <c r="C36" s="2" t="s">
        <v>71</v>
      </c>
      <c r="D36" s="2" t="s">
        <v>71</v>
      </c>
      <c r="E36" s="3">
        <v>1.1379999999999999</v>
      </c>
      <c r="F36" s="3">
        <v>0</v>
      </c>
      <c r="G36" s="3">
        <v>0</v>
      </c>
      <c r="H36" s="3">
        <v>0</v>
      </c>
      <c r="I36" s="4">
        <v>0</v>
      </c>
      <c r="J36" s="3">
        <v>-1</v>
      </c>
      <c r="K36" s="4">
        <v>66</v>
      </c>
      <c r="L36" s="4">
        <v>0</v>
      </c>
      <c r="M36" s="4">
        <v>5236</v>
      </c>
      <c r="N36" s="4">
        <v>4602</v>
      </c>
      <c r="O36" s="4">
        <f t="shared" si="0"/>
        <v>634</v>
      </c>
      <c r="P36" s="3">
        <v>0.13800000000000001</v>
      </c>
      <c r="Q36" s="4">
        <v>0</v>
      </c>
      <c r="R36" s="3">
        <v>-1</v>
      </c>
      <c r="S36" s="8"/>
      <c r="T36" s="8"/>
      <c r="U36" s="4">
        <v>5635</v>
      </c>
      <c r="V36" s="3">
        <v>7.9000000000000001E-2</v>
      </c>
      <c r="W36" s="3">
        <v>0</v>
      </c>
      <c r="X36" s="3">
        <v>3.1970000000000001</v>
      </c>
      <c r="Y36" s="3">
        <v>3.2250000000000001</v>
      </c>
      <c r="Z36" s="3">
        <v>0.35599999999999998</v>
      </c>
      <c r="AA36" s="3">
        <v>2.87</v>
      </c>
      <c r="AB36" s="3">
        <v>3.2250000000000001</v>
      </c>
      <c r="AC36" s="3">
        <v>0.35599999999999998</v>
      </c>
      <c r="AD36" s="3">
        <v>2.87</v>
      </c>
      <c r="AE36" s="8"/>
      <c r="AF36" s="3">
        <v>5.7859999999999996</v>
      </c>
      <c r="AG36" s="8"/>
      <c r="AH36" s="3">
        <v>3.423</v>
      </c>
      <c r="AI36" s="3">
        <v>0.56000000000000005</v>
      </c>
      <c r="AJ36" s="3">
        <v>2.863</v>
      </c>
      <c r="AK36" s="3">
        <v>0</v>
      </c>
      <c r="AL36" s="4">
        <v>0</v>
      </c>
    </row>
    <row r="37" spans="1:38" x14ac:dyDescent="0.25">
      <c r="A37" s="12" t="s">
        <v>61</v>
      </c>
      <c r="B37" s="12" t="s">
        <v>46</v>
      </c>
      <c r="C37" s="2" t="s">
        <v>72</v>
      </c>
      <c r="D37" s="2" t="s">
        <v>72</v>
      </c>
      <c r="E37" s="3">
        <v>1.0309999999999999</v>
      </c>
      <c r="F37" s="3">
        <v>0</v>
      </c>
      <c r="G37" s="3">
        <v>0.28399999999999997</v>
      </c>
      <c r="H37" s="3">
        <v>0.28399999999999997</v>
      </c>
      <c r="I37" s="4">
        <v>1</v>
      </c>
      <c r="J37" s="3">
        <v>0</v>
      </c>
      <c r="K37" s="4">
        <v>32</v>
      </c>
      <c r="L37" s="4">
        <v>1</v>
      </c>
      <c r="M37" s="4">
        <v>2113</v>
      </c>
      <c r="N37" s="4">
        <v>1607</v>
      </c>
      <c r="O37" s="4">
        <f t="shared" si="0"/>
        <v>506</v>
      </c>
      <c r="P37" s="3">
        <v>0.315</v>
      </c>
      <c r="Q37" s="4">
        <v>457</v>
      </c>
      <c r="R37" s="3">
        <v>1.431</v>
      </c>
      <c r="S37" s="4">
        <v>456.74</v>
      </c>
      <c r="T37" s="3">
        <v>1.431</v>
      </c>
      <c r="U37" s="4">
        <v>1262</v>
      </c>
      <c r="V37" s="3">
        <v>9.9000000000000005E-2</v>
      </c>
      <c r="W37" s="3">
        <v>0</v>
      </c>
      <c r="X37" s="3">
        <v>0.39700000000000002</v>
      </c>
      <c r="Y37" s="3">
        <v>0.48099999999999998</v>
      </c>
      <c r="Z37" s="3">
        <v>2.1419999999999999</v>
      </c>
      <c r="AA37" s="3">
        <v>-1.661</v>
      </c>
      <c r="AB37" s="3">
        <v>0.48099999999999998</v>
      </c>
      <c r="AC37" s="3">
        <v>2.1419999999999999</v>
      </c>
      <c r="AD37" s="3">
        <v>-1.661</v>
      </c>
      <c r="AE37" s="3">
        <v>7.4</v>
      </c>
      <c r="AF37" s="3">
        <v>0</v>
      </c>
      <c r="AG37" s="3">
        <v>7.4</v>
      </c>
      <c r="AH37" s="3">
        <v>0.73299999999999998</v>
      </c>
      <c r="AI37" s="3">
        <v>2.3940000000000001</v>
      </c>
      <c r="AJ37" s="3">
        <v>-1.661</v>
      </c>
      <c r="AK37" s="3">
        <v>0</v>
      </c>
      <c r="AL37" s="4">
        <v>0</v>
      </c>
    </row>
    <row r="38" spans="1:38" x14ac:dyDescent="0.25">
      <c r="A38" s="12" t="s">
        <v>61</v>
      </c>
      <c r="B38" s="12" t="s">
        <v>46</v>
      </c>
      <c r="C38" s="5" t="s">
        <v>42</v>
      </c>
      <c r="D38" s="5"/>
      <c r="E38" s="6">
        <v>1.1100000000000001</v>
      </c>
      <c r="F38" s="6">
        <v>0</v>
      </c>
      <c r="G38" s="6">
        <v>7.3999999999999996E-2</v>
      </c>
      <c r="H38" s="6">
        <v>7.3999999999999996E-2</v>
      </c>
      <c r="I38" s="7">
        <v>1</v>
      </c>
      <c r="J38" s="6">
        <v>-0.66700000000000004</v>
      </c>
      <c r="K38" s="7">
        <v>98</v>
      </c>
      <c r="L38" s="7">
        <v>1</v>
      </c>
      <c r="M38" s="7">
        <v>7349</v>
      </c>
      <c r="N38" s="7">
        <v>6209</v>
      </c>
      <c r="O38" s="4">
        <f t="shared" si="0"/>
        <v>1140</v>
      </c>
      <c r="P38" s="6">
        <v>0.184</v>
      </c>
      <c r="Q38" s="7">
        <v>457</v>
      </c>
      <c r="R38" s="6">
        <v>-0.67600000000000005</v>
      </c>
      <c r="S38" s="7">
        <v>456.74</v>
      </c>
      <c r="T38" s="6">
        <v>-2.9000000000000001E-2</v>
      </c>
      <c r="U38" s="7">
        <v>6897</v>
      </c>
      <c r="V38" s="6">
        <v>8.3000000000000004E-2</v>
      </c>
      <c r="W38" s="6">
        <v>0</v>
      </c>
      <c r="X38" s="6">
        <v>2.6840000000000002</v>
      </c>
      <c r="Y38" s="6">
        <v>2.7229999999999999</v>
      </c>
      <c r="Z38" s="6">
        <v>0.67800000000000005</v>
      </c>
      <c r="AA38" s="6">
        <v>2.0449999999999999</v>
      </c>
      <c r="AB38" s="6">
        <v>2.7229999999999999</v>
      </c>
      <c r="AC38" s="6">
        <v>0.67800000000000005</v>
      </c>
      <c r="AD38" s="6">
        <v>2.0449999999999999</v>
      </c>
      <c r="AE38" s="6">
        <v>7.4</v>
      </c>
      <c r="AF38" s="6">
        <v>5.6040000000000001</v>
      </c>
      <c r="AG38" s="6">
        <v>1.7949999999999999</v>
      </c>
      <c r="AH38" s="6">
        <v>2.93</v>
      </c>
      <c r="AI38" s="6">
        <v>0.89100000000000001</v>
      </c>
      <c r="AJ38" s="6">
        <v>2.04</v>
      </c>
      <c r="AK38" s="6">
        <v>0</v>
      </c>
      <c r="AL38" s="7">
        <v>0</v>
      </c>
    </row>
    <row r="39" spans="1:38" ht="33.75" x14ac:dyDescent="0.25">
      <c r="A39" s="12" t="s">
        <v>61</v>
      </c>
      <c r="B39" s="12" t="s">
        <v>73</v>
      </c>
      <c r="C39" s="2" t="s">
        <v>73</v>
      </c>
      <c r="D39" s="2" t="s">
        <v>74</v>
      </c>
      <c r="E39" s="3">
        <v>0.16500000000000001</v>
      </c>
      <c r="F39" s="3">
        <v>0</v>
      </c>
      <c r="G39" s="3">
        <v>0</v>
      </c>
      <c r="H39" s="3">
        <v>0</v>
      </c>
      <c r="I39" s="4">
        <v>0</v>
      </c>
      <c r="J39" s="3">
        <v>-1</v>
      </c>
      <c r="K39" s="4">
        <v>9</v>
      </c>
      <c r="L39" s="4">
        <v>0</v>
      </c>
      <c r="M39" s="4">
        <v>457</v>
      </c>
      <c r="N39" s="4">
        <v>2764</v>
      </c>
      <c r="O39" s="4">
        <f t="shared" si="0"/>
        <v>-2307</v>
      </c>
      <c r="P39" s="3">
        <v>-0.83499999999999996</v>
      </c>
      <c r="Q39" s="4">
        <v>0</v>
      </c>
      <c r="R39" s="3">
        <v>-1</v>
      </c>
      <c r="S39" s="8"/>
      <c r="T39" s="8"/>
      <c r="U39" s="4">
        <v>820</v>
      </c>
      <c r="V39" s="3">
        <v>-0.312</v>
      </c>
      <c r="W39" s="3">
        <v>0</v>
      </c>
      <c r="X39" s="3">
        <v>0</v>
      </c>
      <c r="Y39" s="3">
        <v>0.33900000000000002</v>
      </c>
      <c r="Z39" s="3">
        <v>1.599</v>
      </c>
      <c r="AA39" s="3">
        <v>-1.26</v>
      </c>
      <c r="AB39" s="3">
        <v>0.33900000000000002</v>
      </c>
      <c r="AC39" s="3">
        <v>1.599</v>
      </c>
      <c r="AD39" s="3">
        <v>-1.26</v>
      </c>
      <c r="AE39" s="8"/>
      <c r="AF39" s="3">
        <v>0</v>
      </c>
      <c r="AG39" s="8"/>
      <c r="AH39" s="3">
        <v>0.51400000000000001</v>
      </c>
      <c r="AI39" s="3">
        <v>1.774</v>
      </c>
      <c r="AJ39" s="3">
        <v>-1.26</v>
      </c>
      <c r="AK39" s="3">
        <v>0</v>
      </c>
      <c r="AL39" s="4">
        <v>0</v>
      </c>
    </row>
    <row r="40" spans="1:38" x14ac:dyDescent="0.25">
      <c r="A40" s="12" t="s">
        <v>61</v>
      </c>
      <c r="B40" s="12" t="s">
        <v>73</v>
      </c>
      <c r="C40" s="5" t="s">
        <v>42</v>
      </c>
      <c r="D40" s="5"/>
      <c r="E40" s="6">
        <v>0.16500000000000001</v>
      </c>
      <c r="F40" s="6">
        <v>0</v>
      </c>
      <c r="G40" s="6">
        <v>0</v>
      </c>
      <c r="H40" s="6">
        <v>0</v>
      </c>
      <c r="I40" s="7">
        <v>0</v>
      </c>
      <c r="J40" s="6">
        <v>-1</v>
      </c>
      <c r="K40" s="7">
        <v>9</v>
      </c>
      <c r="L40" s="7">
        <v>0</v>
      </c>
      <c r="M40" s="7">
        <v>457</v>
      </c>
      <c r="N40" s="7">
        <v>2764</v>
      </c>
      <c r="O40" s="4">
        <f t="shared" si="0"/>
        <v>-2307</v>
      </c>
      <c r="P40" s="6">
        <v>-0.83499999999999996</v>
      </c>
      <c r="Q40" s="7">
        <v>0</v>
      </c>
      <c r="R40" s="6">
        <v>-1</v>
      </c>
      <c r="S40" s="5"/>
      <c r="T40" s="5"/>
      <c r="U40" s="7">
        <v>820</v>
      </c>
      <c r="V40" s="6">
        <v>-0.312</v>
      </c>
      <c r="W40" s="6">
        <v>0</v>
      </c>
      <c r="X40" s="6">
        <v>0</v>
      </c>
      <c r="Y40" s="6">
        <v>0.33900000000000002</v>
      </c>
      <c r="Z40" s="6">
        <v>1.599</v>
      </c>
      <c r="AA40" s="6">
        <v>-1.26</v>
      </c>
      <c r="AB40" s="6">
        <v>0.33900000000000002</v>
      </c>
      <c r="AC40" s="6">
        <v>1.599</v>
      </c>
      <c r="AD40" s="6">
        <v>-1.26</v>
      </c>
      <c r="AE40" s="5"/>
      <c r="AF40" s="6">
        <v>0</v>
      </c>
      <c r="AG40" s="5"/>
      <c r="AH40" s="6">
        <v>0.51400000000000001</v>
      </c>
      <c r="AI40" s="6">
        <v>1.774</v>
      </c>
      <c r="AJ40" s="6">
        <v>-1.26</v>
      </c>
      <c r="AK40" s="6">
        <v>0</v>
      </c>
      <c r="AL40" s="7">
        <v>0</v>
      </c>
    </row>
    <row r="41" spans="1:38" x14ac:dyDescent="0.25">
      <c r="A41" s="12" t="s">
        <v>61</v>
      </c>
      <c r="B41" s="5" t="s">
        <v>42</v>
      </c>
      <c r="C41" s="5"/>
      <c r="D41" s="5"/>
      <c r="E41" s="6">
        <v>0.77600000000000002</v>
      </c>
      <c r="F41" s="6">
        <v>1.6E-2</v>
      </c>
      <c r="G41" s="6">
        <v>0.39500000000000002</v>
      </c>
      <c r="H41" s="6">
        <v>0.39400000000000002</v>
      </c>
      <c r="I41" s="7">
        <v>15</v>
      </c>
      <c r="J41" s="6">
        <v>-0.25</v>
      </c>
      <c r="K41" s="7">
        <v>375</v>
      </c>
      <c r="L41" s="7">
        <v>9</v>
      </c>
      <c r="M41" s="7">
        <v>25541</v>
      </c>
      <c r="N41" s="7">
        <v>21812</v>
      </c>
      <c r="O41" s="4">
        <f t="shared" si="0"/>
        <v>3729</v>
      </c>
      <c r="P41" s="6">
        <v>0.17100000000000001</v>
      </c>
      <c r="Q41" s="7">
        <v>8620</v>
      </c>
      <c r="R41" s="6">
        <v>-7.5999999999999998E-2</v>
      </c>
      <c r="S41" s="7">
        <v>574.66999999999996</v>
      </c>
      <c r="T41" s="6">
        <v>0.121</v>
      </c>
      <c r="U41" s="7">
        <v>31817</v>
      </c>
      <c r="V41" s="6">
        <v>-6.8000000000000005E-2</v>
      </c>
      <c r="W41" s="6">
        <v>0.01</v>
      </c>
      <c r="X41" s="6">
        <v>0.67200000000000004</v>
      </c>
      <c r="Y41" s="6">
        <v>0.86899999999999999</v>
      </c>
      <c r="Z41" s="6">
        <v>0.51</v>
      </c>
      <c r="AA41" s="6">
        <v>0.36</v>
      </c>
      <c r="AB41" s="6">
        <v>0.86899999999999999</v>
      </c>
      <c r="AC41" s="6">
        <v>0.50800000000000001</v>
      </c>
      <c r="AD41" s="6">
        <v>0.36099999999999999</v>
      </c>
      <c r="AE41" s="6">
        <v>0.60099999999999998</v>
      </c>
      <c r="AF41" s="6">
        <v>0.63100000000000001</v>
      </c>
      <c r="AG41" s="6">
        <v>-0.03</v>
      </c>
      <c r="AH41" s="6">
        <v>1.0529999999999999</v>
      </c>
      <c r="AI41" s="6">
        <v>0.68799999999999994</v>
      </c>
      <c r="AJ41" s="6">
        <v>0.36499999999999999</v>
      </c>
      <c r="AK41" s="6">
        <v>0</v>
      </c>
      <c r="AL41" s="7">
        <v>0</v>
      </c>
    </row>
    <row r="42" spans="1:38" x14ac:dyDescent="0.25">
      <c r="A42" s="2" t="s">
        <v>75</v>
      </c>
      <c r="B42" s="2" t="s">
        <v>75</v>
      </c>
      <c r="C42" s="2" t="s">
        <v>75</v>
      </c>
      <c r="D42" s="2" t="s">
        <v>75</v>
      </c>
      <c r="E42" s="6">
        <v>0.98199999999999998</v>
      </c>
      <c r="F42" s="6">
        <v>2.1000000000000001E-2</v>
      </c>
      <c r="G42" s="6">
        <v>9.2999999999999999E-2</v>
      </c>
      <c r="H42" s="6">
        <v>7.8E-2</v>
      </c>
      <c r="I42" s="7">
        <v>98</v>
      </c>
      <c r="J42" s="6">
        <v>3.2000000000000001E-2</v>
      </c>
      <c r="K42" s="7">
        <v>3990</v>
      </c>
      <c r="L42" s="7">
        <v>13</v>
      </c>
      <c r="M42" s="7">
        <v>361369</v>
      </c>
      <c r="N42" s="7">
        <v>336108</v>
      </c>
      <c r="O42" s="4">
        <f t="shared" si="0"/>
        <v>25261</v>
      </c>
      <c r="P42" s="6">
        <v>7.4999999999999997E-2</v>
      </c>
      <c r="Q42" s="7">
        <v>31280</v>
      </c>
      <c r="R42" s="6">
        <v>3.4000000000000002E-2</v>
      </c>
      <c r="S42" s="7">
        <v>322.10000000000002</v>
      </c>
      <c r="T42" s="6">
        <v>-4.8000000000000001E-2</v>
      </c>
      <c r="U42" s="7">
        <v>215485</v>
      </c>
      <c r="V42" s="6">
        <v>6.0000000000000001E-3</v>
      </c>
      <c r="W42" s="6">
        <v>7.0000000000000001E-3</v>
      </c>
      <c r="X42" s="6">
        <v>0.67900000000000005</v>
      </c>
      <c r="Y42" s="6">
        <v>0.75600000000000001</v>
      </c>
      <c r="Z42" s="6">
        <v>0.55100000000000005</v>
      </c>
      <c r="AA42" s="6">
        <v>0.20599999999999999</v>
      </c>
      <c r="AB42" s="6">
        <v>0.75600000000000001</v>
      </c>
      <c r="AC42" s="6">
        <v>0.54700000000000004</v>
      </c>
      <c r="AD42" s="6">
        <v>0.21</v>
      </c>
      <c r="AE42" s="6">
        <v>0.70799999999999996</v>
      </c>
      <c r="AF42" s="6">
        <v>0.29499999999999998</v>
      </c>
      <c r="AG42" s="6">
        <v>0.41299999999999998</v>
      </c>
      <c r="AH42" s="6">
        <v>0.878</v>
      </c>
      <c r="AI42" s="6">
        <v>0.67200000000000004</v>
      </c>
      <c r="AJ42" s="6">
        <v>0.20599999999999999</v>
      </c>
      <c r="AK42" s="6">
        <v>0</v>
      </c>
      <c r="AL42" s="7">
        <v>0</v>
      </c>
    </row>
    <row r="44" spans="1:38" x14ac:dyDescent="0.25">
      <c r="A44" t="s">
        <v>76</v>
      </c>
      <c r="B44" t="s">
        <v>76</v>
      </c>
      <c r="C44" t="s">
        <v>76</v>
      </c>
    </row>
    <row r="45" spans="1:38" x14ac:dyDescent="0.25">
      <c r="A45" s="9" t="s">
        <v>84</v>
      </c>
      <c r="B45" s="9" t="s">
        <v>86</v>
      </c>
    </row>
  </sheetData>
  <mergeCells count="18">
    <mergeCell ref="C19:C20"/>
    <mergeCell ref="A4:AL4"/>
    <mergeCell ref="A5:AL5"/>
    <mergeCell ref="A7:A25"/>
    <mergeCell ref="A26:A41"/>
    <mergeCell ref="B7:B9"/>
    <mergeCell ref="B10:B11"/>
    <mergeCell ref="B12:B13"/>
    <mergeCell ref="B14:B15"/>
    <mergeCell ref="B34:B35"/>
    <mergeCell ref="B36:B38"/>
    <mergeCell ref="B16:B22"/>
    <mergeCell ref="B23:B24"/>
    <mergeCell ref="B26:B27"/>
    <mergeCell ref="B28:B29"/>
    <mergeCell ref="B30:B31"/>
    <mergeCell ref="B32:B33"/>
    <mergeCell ref="B39:B40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6436-7F7A-4498-9936-CC6D4A1B0BF2}">
  <dimension ref="A4:AK45"/>
  <sheetViews>
    <sheetView topLeftCell="W1" workbookViewId="0">
      <selection activeCell="AI16" sqref="AI16"/>
    </sheetView>
  </sheetViews>
  <sheetFormatPr baseColWidth="10" defaultRowHeight="15" x14ac:dyDescent="0.25"/>
  <sheetData>
    <row r="4" spans="1:37" x14ac:dyDescent="0.25">
      <c r="A4" s="10" t="s">
        <v>85</v>
      </c>
      <c r="B4" s="10" t="s">
        <v>85</v>
      </c>
      <c r="C4" s="10" t="s">
        <v>85</v>
      </c>
      <c r="D4" s="10" t="s">
        <v>85</v>
      </c>
      <c r="E4" s="10" t="s">
        <v>85</v>
      </c>
      <c r="F4" s="10" t="s">
        <v>85</v>
      </c>
      <c r="G4" s="10" t="s">
        <v>85</v>
      </c>
      <c r="H4" s="10" t="s">
        <v>85</v>
      </c>
      <c r="I4" s="10" t="s">
        <v>85</v>
      </c>
      <c r="J4" s="10" t="s">
        <v>85</v>
      </c>
      <c r="K4" s="10" t="s">
        <v>85</v>
      </c>
      <c r="L4" s="10" t="s">
        <v>85</v>
      </c>
      <c r="M4" s="10" t="s">
        <v>85</v>
      </c>
      <c r="N4" s="10" t="s">
        <v>85</v>
      </c>
      <c r="O4" s="10" t="s">
        <v>85</v>
      </c>
      <c r="P4" s="10" t="s">
        <v>85</v>
      </c>
      <c r="Q4" s="10" t="s">
        <v>85</v>
      </c>
      <c r="R4" s="10" t="s">
        <v>85</v>
      </c>
      <c r="S4" s="10" t="s">
        <v>85</v>
      </c>
      <c r="T4" s="10" t="s">
        <v>85</v>
      </c>
      <c r="U4" s="10" t="s">
        <v>85</v>
      </c>
      <c r="V4" s="10" t="s">
        <v>85</v>
      </c>
      <c r="W4" s="10" t="s">
        <v>85</v>
      </c>
      <c r="X4" s="10" t="s">
        <v>85</v>
      </c>
      <c r="Y4" s="10" t="s">
        <v>85</v>
      </c>
      <c r="Z4" s="10" t="s">
        <v>85</v>
      </c>
      <c r="AA4" s="10" t="s">
        <v>85</v>
      </c>
      <c r="AB4" s="10" t="s">
        <v>85</v>
      </c>
      <c r="AC4" s="10" t="s">
        <v>85</v>
      </c>
      <c r="AD4" s="10" t="s">
        <v>85</v>
      </c>
      <c r="AE4" s="10" t="s">
        <v>85</v>
      </c>
      <c r="AF4" s="10" t="s">
        <v>85</v>
      </c>
      <c r="AG4" s="10" t="s">
        <v>85</v>
      </c>
      <c r="AH4" s="10" t="s">
        <v>85</v>
      </c>
      <c r="AI4" s="10" t="s">
        <v>85</v>
      </c>
      <c r="AJ4" s="10" t="s">
        <v>85</v>
      </c>
      <c r="AK4" s="10" t="s">
        <v>85</v>
      </c>
    </row>
    <row r="5" spans="1:37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 t="s">
        <v>1</v>
      </c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</row>
    <row r="6" spans="1:37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27</v>
      </c>
      <c r="AD6" s="1" t="s">
        <v>30</v>
      </c>
      <c r="AE6" s="1" t="s">
        <v>31</v>
      </c>
      <c r="AF6" s="1" t="s">
        <v>27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</row>
    <row r="7" spans="1:37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1.0369999999999999</v>
      </c>
      <c r="F7" s="3">
        <v>0</v>
      </c>
      <c r="G7" s="3">
        <v>0</v>
      </c>
      <c r="H7" s="3">
        <v>0</v>
      </c>
      <c r="I7" s="4">
        <v>0</v>
      </c>
      <c r="J7" s="8"/>
      <c r="K7" s="4">
        <v>22</v>
      </c>
      <c r="L7" s="4">
        <v>0</v>
      </c>
      <c r="M7" s="4">
        <v>774</v>
      </c>
      <c r="N7" s="4">
        <v>747</v>
      </c>
      <c r="O7" s="3">
        <v>3.6999999999999998E-2</v>
      </c>
      <c r="P7" s="4">
        <v>0</v>
      </c>
      <c r="Q7" s="8"/>
      <c r="R7" s="8"/>
      <c r="S7" s="8"/>
      <c r="T7" s="4">
        <v>607</v>
      </c>
      <c r="U7" s="3">
        <v>-7.1999999999999995E-2</v>
      </c>
      <c r="V7" s="3">
        <v>0</v>
      </c>
      <c r="W7" s="3">
        <v>0</v>
      </c>
      <c r="X7" s="3">
        <v>0.252</v>
      </c>
      <c r="Y7" s="3">
        <v>0.252</v>
      </c>
      <c r="Z7" s="3">
        <v>0</v>
      </c>
      <c r="AA7" s="3">
        <v>0.252</v>
      </c>
      <c r="AB7" s="3">
        <v>0.252</v>
      </c>
      <c r="AC7" s="3">
        <v>0</v>
      </c>
      <c r="AD7" s="8"/>
      <c r="AE7" s="8"/>
      <c r="AF7" s="8"/>
      <c r="AG7" s="3">
        <v>0.46800000000000003</v>
      </c>
      <c r="AH7" s="3">
        <v>0.46200000000000002</v>
      </c>
      <c r="AI7" s="3">
        <v>6.0000000000000001E-3</v>
      </c>
      <c r="AJ7" s="3">
        <v>0.63280000000000003</v>
      </c>
      <c r="AK7" s="4">
        <v>223</v>
      </c>
    </row>
    <row r="8" spans="1:37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1.0469999999999999</v>
      </c>
      <c r="F8" s="3">
        <v>0</v>
      </c>
      <c r="G8" s="3">
        <v>0</v>
      </c>
      <c r="H8" s="3">
        <v>0</v>
      </c>
      <c r="I8" s="4">
        <v>0</v>
      </c>
      <c r="J8" s="8"/>
      <c r="K8" s="4">
        <v>49</v>
      </c>
      <c r="L8" s="4">
        <v>0</v>
      </c>
      <c r="M8" s="4">
        <v>1434</v>
      </c>
      <c r="N8" s="4">
        <v>1369</v>
      </c>
      <c r="O8" s="3">
        <v>4.7E-2</v>
      </c>
      <c r="P8" s="4">
        <v>0</v>
      </c>
      <c r="Q8" s="8"/>
      <c r="R8" s="8"/>
      <c r="S8" s="8"/>
      <c r="T8" s="4">
        <v>1393</v>
      </c>
      <c r="U8" s="3">
        <v>0.122</v>
      </c>
      <c r="V8" s="3">
        <v>4.0000000000000001E-3</v>
      </c>
      <c r="W8" s="3">
        <v>0</v>
      </c>
      <c r="X8" s="3">
        <v>2.9000000000000001E-2</v>
      </c>
      <c r="Y8" s="3">
        <v>2.9000000000000001E-2</v>
      </c>
      <c r="Z8" s="3">
        <v>0</v>
      </c>
      <c r="AA8" s="3">
        <v>2.9000000000000001E-2</v>
      </c>
      <c r="AB8" s="3">
        <v>2.9000000000000001E-2</v>
      </c>
      <c r="AC8" s="3">
        <v>0</v>
      </c>
      <c r="AD8" s="8"/>
      <c r="AE8" s="8"/>
      <c r="AF8" s="8"/>
      <c r="AG8" s="3">
        <v>0.29299999999999998</v>
      </c>
      <c r="AH8" s="3">
        <v>0.30599999999999999</v>
      </c>
      <c r="AI8" s="3">
        <v>-1.2999999999999999E-2</v>
      </c>
      <c r="AJ8" s="3">
        <v>0.45190000000000002</v>
      </c>
      <c r="AK8" s="4">
        <v>764</v>
      </c>
    </row>
    <row r="9" spans="1:37" x14ac:dyDescent="0.25">
      <c r="A9" s="12" t="s">
        <v>37</v>
      </c>
      <c r="B9" s="12" t="s">
        <v>38</v>
      </c>
      <c r="C9" s="5" t="s">
        <v>42</v>
      </c>
      <c r="D9" s="5"/>
      <c r="E9" s="6">
        <v>1.0429999999999999</v>
      </c>
      <c r="F9" s="6">
        <v>0</v>
      </c>
      <c r="G9" s="6">
        <v>0</v>
      </c>
      <c r="H9" s="6">
        <v>0</v>
      </c>
      <c r="I9" s="7">
        <v>0</v>
      </c>
      <c r="J9" s="5"/>
      <c r="K9" s="7">
        <v>71</v>
      </c>
      <c r="L9" s="7">
        <v>0</v>
      </c>
      <c r="M9" s="7">
        <v>2208</v>
      </c>
      <c r="N9" s="7">
        <v>2116</v>
      </c>
      <c r="O9" s="6">
        <v>4.2999999999999997E-2</v>
      </c>
      <c r="P9" s="7">
        <v>0</v>
      </c>
      <c r="Q9" s="5"/>
      <c r="R9" s="5"/>
      <c r="S9" s="5"/>
      <c r="T9" s="7">
        <v>2000</v>
      </c>
      <c r="U9" s="6">
        <v>5.5E-2</v>
      </c>
      <c r="V9" s="6">
        <v>3.0000000000000001E-3</v>
      </c>
      <c r="W9" s="6">
        <v>0</v>
      </c>
      <c r="X9" s="6">
        <v>9.7000000000000003E-2</v>
      </c>
      <c r="Y9" s="6">
        <v>0.106</v>
      </c>
      <c r="Z9" s="6">
        <v>-8.9999999999999993E-3</v>
      </c>
      <c r="AA9" s="6">
        <v>9.7000000000000003E-2</v>
      </c>
      <c r="AB9" s="6">
        <v>0.106</v>
      </c>
      <c r="AC9" s="6">
        <v>-8.9999999999999993E-3</v>
      </c>
      <c r="AD9" s="5"/>
      <c r="AE9" s="5"/>
      <c r="AF9" s="5"/>
      <c r="AG9" s="6">
        <v>0.34599999999999997</v>
      </c>
      <c r="AH9" s="6">
        <v>0.36</v>
      </c>
      <c r="AI9" s="6">
        <v>-1.4E-2</v>
      </c>
      <c r="AJ9" s="6">
        <v>0.50680000000000003</v>
      </c>
      <c r="AK9" s="7">
        <v>986</v>
      </c>
    </row>
    <row r="10" spans="1:37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1.002</v>
      </c>
      <c r="F10" s="3">
        <v>2.4E-2</v>
      </c>
      <c r="G10" s="3">
        <v>6.9000000000000006E-2</v>
      </c>
      <c r="H10" s="3">
        <v>5.2999999999999999E-2</v>
      </c>
      <c r="I10" s="4">
        <v>63</v>
      </c>
      <c r="J10" s="3">
        <v>0.34</v>
      </c>
      <c r="K10" s="4">
        <v>2518</v>
      </c>
      <c r="L10" s="4">
        <v>3</v>
      </c>
      <c r="M10" s="4">
        <v>295093</v>
      </c>
      <c r="N10" s="4">
        <v>275728</v>
      </c>
      <c r="O10" s="3">
        <v>7.0000000000000007E-2</v>
      </c>
      <c r="P10" s="4">
        <v>18914</v>
      </c>
      <c r="Q10" s="3">
        <v>0.26300000000000001</v>
      </c>
      <c r="R10" s="4">
        <v>300.22000000000003</v>
      </c>
      <c r="S10" s="3">
        <v>-9.8000000000000004E-2</v>
      </c>
      <c r="T10" s="4">
        <v>145659</v>
      </c>
      <c r="U10" s="3">
        <v>1.0999999999999999E-2</v>
      </c>
      <c r="V10" s="3">
        <v>8.9999999999999993E-3</v>
      </c>
      <c r="W10" s="3">
        <v>0.73199999999999998</v>
      </c>
      <c r="X10" s="3">
        <v>0.77300000000000002</v>
      </c>
      <c r="Y10" s="3">
        <v>0.53700000000000003</v>
      </c>
      <c r="Z10" s="3">
        <v>0.23599999999999999</v>
      </c>
      <c r="AA10" s="3">
        <v>0.77300000000000002</v>
      </c>
      <c r="AB10" s="3">
        <v>0.53700000000000003</v>
      </c>
      <c r="AC10" s="3">
        <v>0.23599999999999999</v>
      </c>
      <c r="AD10" s="3">
        <v>0.67500000000000004</v>
      </c>
      <c r="AE10" s="3">
        <v>6.8000000000000005E-2</v>
      </c>
      <c r="AF10" s="3">
        <v>0.60699999999999998</v>
      </c>
      <c r="AG10" s="3">
        <v>0.85799999999999998</v>
      </c>
      <c r="AH10" s="3">
        <v>0.623</v>
      </c>
      <c r="AI10" s="3">
        <v>0.23599999999999999</v>
      </c>
      <c r="AJ10" s="3">
        <v>1.0338000000000001</v>
      </c>
      <c r="AK10" s="4">
        <v>-4926</v>
      </c>
    </row>
    <row r="11" spans="1:37" x14ac:dyDescent="0.25">
      <c r="A11" s="12" t="s">
        <v>37</v>
      </c>
      <c r="B11" s="12" t="s">
        <v>43</v>
      </c>
      <c r="C11" s="5" t="s">
        <v>42</v>
      </c>
      <c r="D11" s="5"/>
      <c r="E11" s="6">
        <v>1.002</v>
      </c>
      <c r="F11" s="6">
        <v>2.4E-2</v>
      </c>
      <c r="G11" s="6">
        <v>6.9000000000000006E-2</v>
      </c>
      <c r="H11" s="6">
        <v>5.2999999999999999E-2</v>
      </c>
      <c r="I11" s="7">
        <v>63</v>
      </c>
      <c r="J11" s="6">
        <v>0.34</v>
      </c>
      <c r="K11" s="7">
        <v>2518</v>
      </c>
      <c r="L11" s="7">
        <v>3</v>
      </c>
      <c r="M11" s="7">
        <v>295093</v>
      </c>
      <c r="N11" s="7">
        <v>275728</v>
      </c>
      <c r="O11" s="6">
        <v>7.0000000000000007E-2</v>
      </c>
      <c r="P11" s="7">
        <v>18914</v>
      </c>
      <c r="Q11" s="6">
        <v>0.26300000000000001</v>
      </c>
      <c r="R11" s="7">
        <v>300.22000000000003</v>
      </c>
      <c r="S11" s="6">
        <v>-9.8000000000000004E-2</v>
      </c>
      <c r="T11" s="7">
        <v>145659</v>
      </c>
      <c r="U11" s="6">
        <v>1.0999999999999999E-2</v>
      </c>
      <c r="V11" s="6">
        <v>8.9999999999999993E-3</v>
      </c>
      <c r="W11" s="6">
        <v>0.73199999999999998</v>
      </c>
      <c r="X11" s="6">
        <v>0.77300000000000002</v>
      </c>
      <c r="Y11" s="6">
        <v>0.53700000000000003</v>
      </c>
      <c r="Z11" s="6">
        <v>0.23599999999999999</v>
      </c>
      <c r="AA11" s="6">
        <v>0.77300000000000002</v>
      </c>
      <c r="AB11" s="6">
        <v>0.53700000000000003</v>
      </c>
      <c r="AC11" s="6">
        <v>0.23599999999999999</v>
      </c>
      <c r="AD11" s="6">
        <v>0.67500000000000004</v>
      </c>
      <c r="AE11" s="6">
        <v>6.8000000000000005E-2</v>
      </c>
      <c r="AF11" s="6">
        <v>0.60699999999999998</v>
      </c>
      <c r="AG11" s="6">
        <v>0.85799999999999998</v>
      </c>
      <c r="AH11" s="6">
        <v>0.623</v>
      </c>
      <c r="AI11" s="6">
        <v>0.23599999999999999</v>
      </c>
      <c r="AJ11" s="6">
        <v>1.0338000000000001</v>
      </c>
      <c r="AK11" s="7">
        <v>-4926</v>
      </c>
    </row>
    <row r="12" spans="1:37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0.95299999999999996</v>
      </c>
      <c r="F12" s="3">
        <v>1.2999999999999999E-2</v>
      </c>
      <c r="G12" s="3">
        <v>7.4999999999999997E-2</v>
      </c>
      <c r="H12" s="3">
        <v>4.4999999999999998E-2</v>
      </c>
      <c r="I12" s="4">
        <v>12</v>
      </c>
      <c r="J12" s="3">
        <v>-0.4</v>
      </c>
      <c r="K12" s="4">
        <v>754</v>
      </c>
      <c r="L12" s="4">
        <v>2</v>
      </c>
      <c r="M12" s="4">
        <v>27630</v>
      </c>
      <c r="N12" s="4">
        <v>26870</v>
      </c>
      <c r="O12" s="3">
        <v>2.8000000000000001E-2</v>
      </c>
      <c r="P12" s="4">
        <v>2014</v>
      </c>
      <c r="Q12" s="3">
        <v>-0.53200000000000003</v>
      </c>
      <c r="R12" s="4">
        <v>167.87</v>
      </c>
      <c r="S12" s="3">
        <v>-0.22</v>
      </c>
      <c r="T12" s="4">
        <v>25501</v>
      </c>
      <c r="U12" s="3">
        <v>0.04</v>
      </c>
      <c r="V12" s="3">
        <v>1E-3</v>
      </c>
      <c r="W12" s="3">
        <v>0.55500000000000005</v>
      </c>
      <c r="X12" s="3">
        <v>0.68300000000000005</v>
      </c>
      <c r="Y12" s="3">
        <v>0.79</v>
      </c>
      <c r="Z12" s="3">
        <v>-0.107</v>
      </c>
      <c r="AA12" s="3">
        <v>0.68300000000000005</v>
      </c>
      <c r="AB12" s="3">
        <v>0.75700000000000001</v>
      </c>
      <c r="AC12" s="3">
        <v>-7.3999999999999996E-2</v>
      </c>
      <c r="AD12" s="3">
        <v>2.2959999999999998</v>
      </c>
      <c r="AE12" s="3">
        <v>0.53300000000000003</v>
      </c>
      <c r="AF12" s="3">
        <v>1.7629999999999999</v>
      </c>
      <c r="AG12" s="3">
        <v>0.90500000000000003</v>
      </c>
      <c r="AH12" s="3">
        <v>1.012</v>
      </c>
      <c r="AI12" s="3">
        <v>-0.107</v>
      </c>
      <c r="AJ12" s="3">
        <v>1.0729</v>
      </c>
      <c r="AK12" s="4">
        <v>-1859</v>
      </c>
    </row>
    <row r="13" spans="1:37" x14ac:dyDescent="0.25">
      <c r="A13" s="12" t="s">
        <v>37</v>
      </c>
      <c r="B13" s="12" t="s">
        <v>45</v>
      </c>
      <c r="C13" s="5" t="s">
        <v>42</v>
      </c>
      <c r="D13" s="5"/>
      <c r="E13" s="6">
        <v>0.95299999999999996</v>
      </c>
      <c r="F13" s="6">
        <v>1.2999999999999999E-2</v>
      </c>
      <c r="G13" s="6">
        <v>7.4999999999999997E-2</v>
      </c>
      <c r="H13" s="6">
        <v>4.4999999999999998E-2</v>
      </c>
      <c r="I13" s="7">
        <v>12</v>
      </c>
      <c r="J13" s="6">
        <v>-0.4</v>
      </c>
      <c r="K13" s="7">
        <v>754</v>
      </c>
      <c r="L13" s="7">
        <v>2</v>
      </c>
      <c r="M13" s="7">
        <v>27630</v>
      </c>
      <c r="N13" s="7">
        <v>26870</v>
      </c>
      <c r="O13" s="6">
        <v>2.8000000000000001E-2</v>
      </c>
      <c r="P13" s="7">
        <v>2014</v>
      </c>
      <c r="Q13" s="6">
        <v>-0.53200000000000003</v>
      </c>
      <c r="R13" s="7">
        <v>167.87</v>
      </c>
      <c r="S13" s="6">
        <v>-0.22</v>
      </c>
      <c r="T13" s="7">
        <v>25501</v>
      </c>
      <c r="U13" s="6">
        <v>0.04</v>
      </c>
      <c r="V13" s="6">
        <v>1E-3</v>
      </c>
      <c r="W13" s="6">
        <v>0.55500000000000005</v>
      </c>
      <c r="X13" s="6">
        <v>0.68300000000000005</v>
      </c>
      <c r="Y13" s="6">
        <v>0.79</v>
      </c>
      <c r="Z13" s="6">
        <v>-0.107</v>
      </c>
      <c r="AA13" s="6">
        <v>0.68300000000000005</v>
      </c>
      <c r="AB13" s="6">
        <v>0.75700000000000001</v>
      </c>
      <c r="AC13" s="6">
        <v>-7.3999999999999996E-2</v>
      </c>
      <c r="AD13" s="6">
        <v>2.2959999999999998</v>
      </c>
      <c r="AE13" s="6">
        <v>0.53300000000000003</v>
      </c>
      <c r="AF13" s="6">
        <v>1.7629999999999999</v>
      </c>
      <c r="AG13" s="6">
        <v>0.90500000000000003</v>
      </c>
      <c r="AH13" s="6">
        <v>1.012</v>
      </c>
      <c r="AI13" s="6">
        <v>-0.107</v>
      </c>
      <c r="AJ13" s="6">
        <v>1.0729</v>
      </c>
      <c r="AK13" s="7">
        <v>-1859</v>
      </c>
    </row>
    <row r="14" spans="1:37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1.0009999999999999</v>
      </c>
      <c r="F14" s="3">
        <v>0</v>
      </c>
      <c r="G14" s="3">
        <v>0</v>
      </c>
      <c r="H14" s="3">
        <v>0</v>
      </c>
      <c r="I14" s="4">
        <v>0</v>
      </c>
      <c r="J14" s="3">
        <v>-1</v>
      </c>
      <c r="K14" s="4">
        <v>24</v>
      </c>
      <c r="L14" s="4">
        <v>0</v>
      </c>
      <c r="M14" s="4">
        <v>4032</v>
      </c>
      <c r="N14" s="4">
        <v>4027</v>
      </c>
      <c r="O14" s="3">
        <v>1E-3</v>
      </c>
      <c r="P14" s="4">
        <v>0</v>
      </c>
      <c r="Q14" s="3">
        <v>-1</v>
      </c>
      <c r="R14" s="8"/>
      <c r="S14" s="8"/>
      <c r="T14" s="4">
        <v>2801</v>
      </c>
      <c r="U14" s="3">
        <v>5.7000000000000002E-2</v>
      </c>
      <c r="V14" s="3">
        <v>0</v>
      </c>
      <c r="W14" s="3">
        <v>0.33800000000000002</v>
      </c>
      <c r="X14" s="3">
        <v>0.52200000000000002</v>
      </c>
      <c r="Y14" s="3">
        <v>0.88400000000000001</v>
      </c>
      <c r="Z14" s="3">
        <v>-0.36299999999999999</v>
      </c>
      <c r="AA14" s="3">
        <v>0.52200000000000002</v>
      </c>
      <c r="AB14" s="3">
        <v>0.88400000000000001</v>
      </c>
      <c r="AC14" s="3">
        <v>-0.36299999999999999</v>
      </c>
      <c r="AD14" s="8"/>
      <c r="AE14" s="3">
        <v>0</v>
      </c>
      <c r="AF14" s="8"/>
      <c r="AG14" s="3">
        <v>0.72199999999999998</v>
      </c>
      <c r="AH14" s="3">
        <v>1.0840000000000001</v>
      </c>
      <c r="AI14" s="3">
        <v>-0.36299999999999999</v>
      </c>
      <c r="AJ14" s="3">
        <v>0.90949999999999998</v>
      </c>
      <c r="AK14" s="4">
        <v>253</v>
      </c>
    </row>
    <row r="15" spans="1:37" x14ac:dyDescent="0.25">
      <c r="A15" s="12" t="s">
        <v>37</v>
      </c>
      <c r="B15" s="12" t="s">
        <v>46</v>
      </c>
      <c r="C15" s="5" t="s">
        <v>42</v>
      </c>
      <c r="D15" s="5"/>
      <c r="E15" s="6">
        <v>1.0009999999999999</v>
      </c>
      <c r="F15" s="6">
        <v>0</v>
      </c>
      <c r="G15" s="6">
        <v>0</v>
      </c>
      <c r="H15" s="6">
        <v>0</v>
      </c>
      <c r="I15" s="7">
        <v>0</v>
      </c>
      <c r="J15" s="6">
        <v>-1</v>
      </c>
      <c r="K15" s="7">
        <v>24</v>
      </c>
      <c r="L15" s="7">
        <v>0</v>
      </c>
      <c r="M15" s="7">
        <v>4032</v>
      </c>
      <c r="N15" s="7">
        <v>4027</v>
      </c>
      <c r="O15" s="6">
        <v>1E-3</v>
      </c>
      <c r="P15" s="7">
        <v>0</v>
      </c>
      <c r="Q15" s="6">
        <v>-1</v>
      </c>
      <c r="R15" s="5"/>
      <c r="S15" s="5"/>
      <c r="T15" s="7">
        <v>2801</v>
      </c>
      <c r="U15" s="6">
        <v>5.7000000000000002E-2</v>
      </c>
      <c r="V15" s="6">
        <v>0</v>
      </c>
      <c r="W15" s="6">
        <v>0.33800000000000002</v>
      </c>
      <c r="X15" s="6">
        <v>0.52200000000000002</v>
      </c>
      <c r="Y15" s="6">
        <v>0.88400000000000001</v>
      </c>
      <c r="Z15" s="6">
        <v>-0.36299999999999999</v>
      </c>
      <c r="AA15" s="6">
        <v>0.52200000000000002</v>
      </c>
      <c r="AB15" s="6">
        <v>0.88400000000000001</v>
      </c>
      <c r="AC15" s="6">
        <v>-0.36299999999999999</v>
      </c>
      <c r="AD15" s="5"/>
      <c r="AE15" s="6">
        <v>0</v>
      </c>
      <c r="AF15" s="5"/>
      <c r="AG15" s="6">
        <v>0.72199999999999998</v>
      </c>
      <c r="AH15" s="6">
        <v>1.0840000000000001</v>
      </c>
      <c r="AI15" s="6">
        <v>-0.36299999999999999</v>
      </c>
      <c r="AJ15" s="6">
        <v>0.90949999999999998</v>
      </c>
      <c r="AK15" s="7">
        <v>253</v>
      </c>
    </row>
    <row r="16" spans="1:37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1</v>
      </c>
      <c r="G16" s="3">
        <v>0.70499999999999996</v>
      </c>
      <c r="H16" s="3">
        <v>0</v>
      </c>
      <c r="I16" s="4">
        <v>1</v>
      </c>
      <c r="J16" s="3">
        <v>0</v>
      </c>
      <c r="K16" s="4">
        <v>1</v>
      </c>
      <c r="L16" s="4">
        <v>0</v>
      </c>
      <c r="M16" s="4">
        <v>142</v>
      </c>
      <c r="N16" s="4">
        <v>202</v>
      </c>
      <c r="O16" s="3">
        <v>-0.29499999999999998</v>
      </c>
      <c r="P16" s="4">
        <v>142</v>
      </c>
      <c r="Q16" s="3">
        <v>-0.29499999999999998</v>
      </c>
      <c r="R16" s="4">
        <v>1237.8699999999999</v>
      </c>
      <c r="S16" s="3">
        <v>-0.58099999999999996</v>
      </c>
      <c r="T16" s="4">
        <v>267</v>
      </c>
      <c r="U16" s="3">
        <v>2.0550000000000002</v>
      </c>
      <c r="V16" s="3">
        <v>0</v>
      </c>
      <c r="W16" s="3">
        <v>0</v>
      </c>
      <c r="X16" s="3">
        <v>-0.28000000000000003</v>
      </c>
      <c r="Y16" s="3">
        <v>-0.28000000000000003</v>
      </c>
      <c r="Z16" s="3">
        <v>0</v>
      </c>
      <c r="AA16" s="3">
        <v>-0.28000000000000003</v>
      </c>
      <c r="AB16" s="3">
        <v>-0.28000000000000003</v>
      </c>
      <c r="AC16" s="3">
        <v>0</v>
      </c>
      <c r="AD16" s="3">
        <v>0</v>
      </c>
      <c r="AE16" s="3">
        <v>0</v>
      </c>
      <c r="AF16" s="3">
        <v>0</v>
      </c>
      <c r="AG16" s="3">
        <v>-0.13</v>
      </c>
      <c r="AH16" s="3">
        <v>-0.13</v>
      </c>
      <c r="AI16" s="3">
        <v>0</v>
      </c>
      <c r="AJ16" s="3">
        <v>0.223</v>
      </c>
      <c r="AK16" s="4">
        <v>207</v>
      </c>
    </row>
    <row r="17" spans="1:37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</v>
      </c>
      <c r="F17" s="3">
        <v>0.125</v>
      </c>
      <c r="G17" s="3">
        <v>0</v>
      </c>
      <c r="H17" s="3">
        <v>0</v>
      </c>
      <c r="I17" s="4">
        <v>0</v>
      </c>
      <c r="J17" s="8"/>
      <c r="K17" s="4">
        <v>7</v>
      </c>
      <c r="L17" s="4">
        <v>-1</v>
      </c>
      <c r="M17" s="4">
        <v>-104</v>
      </c>
      <c r="N17" s="4">
        <v>0</v>
      </c>
      <c r="O17" s="8"/>
      <c r="P17" s="4">
        <v>0</v>
      </c>
      <c r="Q17" s="8"/>
      <c r="R17" s="8"/>
      <c r="S17" s="8"/>
      <c r="T17" s="4">
        <v>173</v>
      </c>
      <c r="U17" s="3">
        <v>5.1999999999999998E-2</v>
      </c>
      <c r="V17" s="3">
        <v>0</v>
      </c>
      <c r="W17" s="3">
        <v>0</v>
      </c>
      <c r="X17" s="3">
        <v>0.39</v>
      </c>
      <c r="Y17" s="3">
        <v>0.39</v>
      </c>
      <c r="Z17" s="3">
        <v>0</v>
      </c>
      <c r="AA17" s="3">
        <v>0.39</v>
      </c>
      <c r="AB17" s="3">
        <v>0.39</v>
      </c>
      <c r="AC17" s="3">
        <v>0</v>
      </c>
      <c r="AD17" s="8"/>
      <c r="AE17" s="8"/>
      <c r="AF17" s="8"/>
      <c r="AG17" s="3">
        <v>0.54</v>
      </c>
      <c r="AH17" s="3">
        <v>0.54</v>
      </c>
      <c r="AI17" s="3">
        <v>0</v>
      </c>
      <c r="AJ17" s="3">
        <v>0.70860000000000001</v>
      </c>
      <c r="AK17" s="4">
        <v>50</v>
      </c>
    </row>
    <row r="18" spans="1:37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1.05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5</v>
      </c>
      <c r="L18" s="4">
        <v>0</v>
      </c>
      <c r="M18" s="4">
        <v>68</v>
      </c>
      <c r="N18" s="4">
        <v>65</v>
      </c>
      <c r="O18" s="3">
        <v>0.05</v>
      </c>
      <c r="P18" s="4">
        <v>0</v>
      </c>
      <c r="Q18" s="8"/>
      <c r="R18" s="8"/>
      <c r="S18" s="8"/>
      <c r="T18" s="4">
        <v>60</v>
      </c>
      <c r="U18" s="3">
        <v>-4.2000000000000003E-2</v>
      </c>
      <c r="V18" s="3">
        <v>0</v>
      </c>
      <c r="W18" s="3">
        <v>0</v>
      </c>
      <c r="X18" s="3">
        <v>-5.0999999999999997E-2</v>
      </c>
      <c r="Y18" s="3">
        <v>-5.0999999999999997E-2</v>
      </c>
      <c r="Z18" s="3">
        <v>0</v>
      </c>
      <c r="AA18" s="3">
        <v>-5.0999999999999997E-2</v>
      </c>
      <c r="AB18" s="3">
        <v>-5.0999999999999997E-2</v>
      </c>
      <c r="AC18" s="3">
        <v>0</v>
      </c>
      <c r="AD18" s="8"/>
      <c r="AE18" s="8"/>
      <c r="AF18" s="8"/>
      <c r="AG18" s="3">
        <v>0.154</v>
      </c>
      <c r="AH18" s="3">
        <v>0.157</v>
      </c>
      <c r="AI18" s="3">
        <v>-4.0000000000000001E-3</v>
      </c>
      <c r="AJ18" s="3">
        <v>0.45279999999999998</v>
      </c>
      <c r="AK18" s="4">
        <v>33</v>
      </c>
    </row>
    <row r="19" spans="1:37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0.65200000000000002</v>
      </c>
      <c r="F19" s="3">
        <v>1.7999999999999999E-2</v>
      </c>
      <c r="G19" s="3">
        <v>0.17199999999999999</v>
      </c>
      <c r="H19" s="3">
        <v>0.17199999999999999</v>
      </c>
      <c r="I19" s="4">
        <v>1</v>
      </c>
      <c r="J19" s="3">
        <v>-0.5</v>
      </c>
      <c r="K19" s="4">
        <v>109</v>
      </c>
      <c r="L19" s="4">
        <v>-1</v>
      </c>
      <c r="M19" s="4">
        <v>72</v>
      </c>
      <c r="N19" s="4">
        <v>88</v>
      </c>
      <c r="O19" s="3">
        <v>-0.17599999999999999</v>
      </c>
      <c r="P19" s="4">
        <v>15</v>
      </c>
      <c r="Q19" s="3">
        <v>-0.496</v>
      </c>
      <c r="R19" s="4">
        <v>15.07</v>
      </c>
      <c r="S19" s="3">
        <v>8.0000000000000002E-3</v>
      </c>
      <c r="T19" s="4">
        <v>335</v>
      </c>
      <c r="U19" s="3">
        <v>-4.2000000000000003E-2</v>
      </c>
      <c r="V19" s="3">
        <v>0</v>
      </c>
      <c r="W19" s="3">
        <v>0</v>
      </c>
      <c r="X19" s="3">
        <v>0.02</v>
      </c>
      <c r="Y19" s="3">
        <v>0.02</v>
      </c>
      <c r="Z19" s="3">
        <v>0</v>
      </c>
      <c r="AA19" s="3">
        <v>0.02</v>
      </c>
      <c r="AB19" s="3">
        <v>0.02</v>
      </c>
      <c r="AC19" s="3">
        <v>0</v>
      </c>
      <c r="AD19" s="3">
        <v>0</v>
      </c>
      <c r="AE19" s="3">
        <v>0</v>
      </c>
      <c r="AF19" s="3">
        <v>0</v>
      </c>
      <c r="AG19" s="3">
        <v>0.26200000000000001</v>
      </c>
      <c r="AH19" s="3">
        <v>0.26300000000000001</v>
      </c>
      <c r="AI19" s="3">
        <v>-1E-3</v>
      </c>
      <c r="AJ19" s="3">
        <v>0.4178</v>
      </c>
      <c r="AK19" s="4">
        <v>195</v>
      </c>
    </row>
    <row r="20" spans="1:37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0.24099999999999999</v>
      </c>
      <c r="F20" s="3">
        <v>5.6000000000000001E-2</v>
      </c>
      <c r="G20" s="3">
        <v>2.4380000000000002</v>
      </c>
      <c r="H20" s="3">
        <v>2.302</v>
      </c>
      <c r="I20" s="4">
        <v>3</v>
      </c>
      <c r="J20" s="3">
        <v>0.5</v>
      </c>
      <c r="K20" s="4">
        <v>37</v>
      </c>
      <c r="L20" s="4">
        <v>1</v>
      </c>
      <c r="M20" s="4">
        <v>454</v>
      </c>
      <c r="N20" s="4">
        <v>169</v>
      </c>
      <c r="O20" s="3">
        <v>1.6779999999999999</v>
      </c>
      <c r="P20" s="4">
        <v>413</v>
      </c>
      <c r="Q20" s="3">
        <v>1.9810000000000001</v>
      </c>
      <c r="R20" s="4">
        <v>137.63999999999999</v>
      </c>
      <c r="S20" s="3">
        <v>0.14599999999999999</v>
      </c>
      <c r="T20" s="4">
        <v>1191</v>
      </c>
      <c r="U20" s="3">
        <v>0.248</v>
      </c>
      <c r="V20" s="3">
        <v>0</v>
      </c>
      <c r="W20" s="3">
        <v>0</v>
      </c>
      <c r="X20" s="3">
        <v>0.108</v>
      </c>
      <c r="Y20" s="3">
        <v>0.108</v>
      </c>
      <c r="Z20" s="3">
        <v>0</v>
      </c>
      <c r="AA20" s="3">
        <v>0.108</v>
      </c>
      <c r="AB20" s="3">
        <v>0.108</v>
      </c>
      <c r="AC20" s="3">
        <v>0</v>
      </c>
      <c r="AD20" s="3">
        <v>0</v>
      </c>
      <c r="AE20" s="3">
        <v>0</v>
      </c>
      <c r="AF20" s="3">
        <v>0</v>
      </c>
      <c r="AG20" s="3">
        <v>0.308</v>
      </c>
      <c r="AH20" s="3">
        <v>0.308</v>
      </c>
      <c r="AI20" s="3">
        <v>-1E-3</v>
      </c>
      <c r="AJ20" s="3">
        <v>0.46839999999999998</v>
      </c>
      <c r="AK20" s="4">
        <v>633</v>
      </c>
    </row>
    <row r="21" spans="1:37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1.038</v>
      </c>
      <c r="F21" s="3">
        <v>0</v>
      </c>
      <c r="G21" s="3">
        <v>0</v>
      </c>
      <c r="H21" s="3">
        <v>0</v>
      </c>
      <c r="I21" s="4">
        <v>0</v>
      </c>
      <c r="J21" s="8"/>
      <c r="K21" s="4">
        <v>30</v>
      </c>
      <c r="L21" s="4">
        <v>0</v>
      </c>
      <c r="M21" s="4">
        <v>475</v>
      </c>
      <c r="N21" s="4">
        <v>458</v>
      </c>
      <c r="O21" s="3">
        <v>3.7999999999999999E-2</v>
      </c>
      <c r="P21" s="4">
        <v>0</v>
      </c>
      <c r="Q21" s="8"/>
      <c r="R21" s="8"/>
      <c r="S21" s="8"/>
      <c r="T21" s="4">
        <v>550</v>
      </c>
      <c r="U21" s="3">
        <v>-8.4000000000000005E-2</v>
      </c>
      <c r="V21" s="3">
        <v>0</v>
      </c>
      <c r="W21" s="3">
        <v>0</v>
      </c>
      <c r="X21" s="3">
        <v>4.8000000000000001E-2</v>
      </c>
      <c r="Y21" s="3">
        <v>4.8000000000000001E-2</v>
      </c>
      <c r="Z21" s="3">
        <v>0</v>
      </c>
      <c r="AA21" s="3">
        <v>4.8000000000000001E-2</v>
      </c>
      <c r="AB21" s="3">
        <v>4.8000000000000001E-2</v>
      </c>
      <c r="AC21" s="3">
        <v>0</v>
      </c>
      <c r="AD21" s="8"/>
      <c r="AE21" s="8"/>
      <c r="AF21" s="8"/>
      <c r="AG21" s="3">
        <v>0.29799999999999999</v>
      </c>
      <c r="AH21" s="3">
        <v>0.29799999999999999</v>
      </c>
      <c r="AI21" s="3">
        <v>0</v>
      </c>
      <c r="AJ21" s="3">
        <v>0.44409999999999999</v>
      </c>
      <c r="AK21" s="4">
        <v>306</v>
      </c>
    </row>
    <row r="22" spans="1:37" x14ac:dyDescent="0.25">
      <c r="A22" s="12" t="s">
        <v>37</v>
      </c>
      <c r="B22" s="12" t="s">
        <v>48</v>
      </c>
      <c r="C22" s="5" t="s">
        <v>42</v>
      </c>
      <c r="D22" s="5"/>
      <c r="E22" s="6">
        <v>0.54700000000000004</v>
      </c>
      <c r="F22" s="6">
        <v>3.2000000000000001E-2</v>
      </c>
      <c r="G22" s="6">
        <v>0.58099999999999996</v>
      </c>
      <c r="H22" s="6">
        <v>0.41299999999999998</v>
      </c>
      <c r="I22" s="7">
        <v>5</v>
      </c>
      <c r="J22" s="6">
        <v>0</v>
      </c>
      <c r="K22" s="7">
        <v>189</v>
      </c>
      <c r="L22" s="7">
        <v>-1</v>
      </c>
      <c r="M22" s="7">
        <v>1107</v>
      </c>
      <c r="N22" s="7">
        <v>982</v>
      </c>
      <c r="O22" s="6">
        <v>0.128</v>
      </c>
      <c r="P22" s="7">
        <v>570</v>
      </c>
      <c r="Q22" s="6">
        <v>0.53900000000000003</v>
      </c>
      <c r="R22" s="7">
        <v>138.62</v>
      </c>
      <c r="S22" s="6">
        <v>0.20499999999999999</v>
      </c>
      <c r="T22" s="7">
        <v>2575</v>
      </c>
      <c r="U22" s="6">
        <v>0.161</v>
      </c>
      <c r="V22" s="6">
        <v>0</v>
      </c>
      <c r="W22" s="6">
        <v>0</v>
      </c>
      <c r="X22" s="6">
        <v>5.8999999999999997E-2</v>
      </c>
      <c r="Y22" s="6">
        <v>7.9000000000000001E-2</v>
      </c>
      <c r="Z22" s="6">
        <v>-0.02</v>
      </c>
      <c r="AA22" s="6">
        <v>5.8999999999999997E-2</v>
      </c>
      <c r="AB22" s="6">
        <v>7.9000000000000001E-2</v>
      </c>
      <c r="AC22" s="6">
        <v>-0.02</v>
      </c>
      <c r="AD22" s="6">
        <v>0</v>
      </c>
      <c r="AE22" s="6">
        <v>0</v>
      </c>
      <c r="AF22" s="6">
        <v>0</v>
      </c>
      <c r="AG22" s="6">
        <v>0.26600000000000001</v>
      </c>
      <c r="AH22" s="6">
        <v>0.29399999999999998</v>
      </c>
      <c r="AI22" s="6">
        <v>-2.8000000000000001E-2</v>
      </c>
      <c r="AJ22" s="6">
        <v>0.44700000000000001</v>
      </c>
      <c r="AK22" s="7">
        <v>1424</v>
      </c>
    </row>
    <row r="23" spans="1:37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1.0049999999999999</v>
      </c>
      <c r="F23" s="3">
        <v>5.0999999999999997E-2</v>
      </c>
      <c r="G23" s="3">
        <v>0.254</v>
      </c>
      <c r="H23" s="3">
        <v>0.254</v>
      </c>
      <c r="I23" s="4">
        <v>3</v>
      </c>
      <c r="J23" s="3">
        <v>0.5</v>
      </c>
      <c r="K23" s="4">
        <v>59</v>
      </c>
      <c r="L23" s="4">
        <v>0</v>
      </c>
      <c r="M23" s="4">
        <v>5758</v>
      </c>
      <c r="N23" s="4">
        <v>4574</v>
      </c>
      <c r="O23" s="3">
        <v>0.25900000000000001</v>
      </c>
      <c r="P23" s="4">
        <v>1162</v>
      </c>
      <c r="Q23" s="3">
        <v>3.4049999999999998</v>
      </c>
      <c r="R23" s="4">
        <v>387.27</v>
      </c>
      <c r="S23" s="3">
        <v>1.9370000000000001</v>
      </c>
      <c r="T23" s="4">
        <v>5132</v>
      </c>
      <c r="U23" s="3">
        <v>0.129</v>
      </c>
      <c r="V23" s="3">
        <v>0</v>
      </c>
      <c r="W23" s="3">
        <v>0.65</v>
      </c>
      <c r="X23" s="3">
        <v>0.69199999999999995</v>
      </c>
      <c r="Y23" s="3">
        <v>0.22600000000000001</v>
      </c>
      <c r="Z23" s="3">
        <v>0.46600000000000003</v>
      </c>
      <c r="AA23" s="3">
        <v>0.69199999999999995</v>
      </c>
      <c r="AB23" s="3">
        <v>0.22600000000000001</v>
      </c>
      <c r="AC23" s="3">
        <v>0.46600000000000003</v>
      </c>
      <c r="AD23" s="3">
        <v>0.29399999999999998</v>
      </c>
      <c r="AE23" s="3">
        <v>0</v>
      </c>
      <c r="AF23" s="3">
        <v>0.29399999999999998</v>
      </c>
      <c r="AG23" s="3">
        <v>0.80600000000000005</v>
      </c>
      <c r="AH23" s="3">
        <v>0.35399999999999998</v>
      </c>
      <c r="AI23" s="3">
        <v>0.45100000000000001</v>
      </c>
      <c r="AJ23" s="3">
        <v>0.96879999999999999</v>
      </c>
      <c r="AK23" s="4">
        <v>160</v>
      </c>
    </row>
    <row r="24" spans="1:37" x14ac:dyDescent="0.25">
      <c r="A24" s="12" t="s">
        <v>37</v>
      </c>
      <c r="B24" s="12" t="s">
        <v>59</v>
      </c>
      <c r="C24" s="5" t="s">
        <v>42</v>
      </c>
      <c r="D24" s="5"/>
      <c r="E24" s="6">
        <v>1.0049999999999999</v>
      </c>
      <c r="F24" s="6">
        <v>5.0999999999999997E-2</v>
      </c>
      <c r="G24" s="6">
        <v>0.254</v>
      </c>
      <c r="H24" s="6">
        <v>0.254</v>
      </c>
      <c r="I24" s="7">
        <v>3</v>
      </c>
      <c r="J24" s="6">
        <v>0.5</v>
      </c>
      <c r="K24" s="7">
        <v>59</v>
      </c>
      <c r="L24" s="7">
        <v>0</v>
      </c>
      <c r="M24" s="7">
        <v>5758</v>
      </c>
      <c r="N24" s="7">
        <v>4574</v>
      </c>
      <c r="O24" s="6">
        <v>0.25900000000000001</v>
      </c>
      <c r="P24" s="7">
        <v>1162</v>
      </c>
      <c r="Q24" s="6">
        <v>3.4049999999999998</v>
      </c>
      <c r="R24" s="7">
        <v>387.27</v>
      </c>
      <c r="S24" s="6">
        <v>1.9370000000000001</v>
      </c>
      <c r="T24" s="7">
        <v>5132</v>
      </c>
      <c r="U24" s="6">
        <v>0.129</v>
      </c>
      <c r="V24" s="6">
        <v>0</v>
      </c>
      <c r="W24" s="6">
        <v>0.65</v>
      </c>
      <c r="X24" s="6">
        <v>0.69199999999999995</v>
      </c>
      <c r="Y24" s="6">
        <v>0.22600000000000001</v>
      </c>
      <c r="Z24" s="6">
        <v>0.46600000000000003</v>
      </c>
      <c r="AA24" s="6">
        <v>0.69199999999999995</v>
      </c>
      <c r="AB24" s="6">
        <v>0.22600000000000001</v>
      </c>
      <c r="AC24" s="6">
        <v>0.46600000000000003</v>
      </c>
      <c r="AD24" s="6">
        <v>0.29399999999999998</v>
      </c>
      <c r="AE24" s="6">
        <v>0</v>
      </c>
      <c r="AF24" s="6">
        <v>0.29399999999999998</v>
      </c>
      <c r="AG24" s="6">
        <v>0.80600000000000005</v>
      </c>
      <c r="AH24" s="6">
        <v>0.35399999999999998</v>
      </c>
      <c r="AI24" s="6">
        <v>0.45100000000000001</v>
      </c>
      <c r="AJ24" s="6">
        <v>0.96879999999999999</v>
      </c>
      <c r="AK24" s="7">
        <v>160</v>
      </c>
    </row>
    <row r="25" spans="1:37" x14ac:dyDescent="0.25">
      <c r="A25" s="12" t="s">
        <v>37</v>
      </c>
      <c r="B25" s="5" t="s">
        <v>42</v>
      </c>
      <c r="C25" s="5"/>
      <c r="D25" s="5"/>
      <c r="E25" s="6">
        <v>0.996</v>
      </c>
      <c r="F25" s="6">
        <v>2.1999999999999999E-2</v>
      </c>
      <c r="G25" s="6">
        <v>7.1999999999999995E-2</v>
      </c>
      <c r="H25" s="6">
        <v>5.6000000000000001E-2</v>
      </c>
      <c r="I25" s="7">
        <v>83</v>
      </c>
      <c r="J25" s="6">
        <v>0.107</v>
      </c>
      <c r="K25" s="7">
        <v>3615</v>
      </c>
      <c r="L25" s="7">
        <v>4</v>
      </c>
      <c r="M25" s="7">
        <v>335828</v>
      </c>
      <c r="N25" s="7">
        <v>314296</v>
      </c>
      <c r="O25" s="6">
        <v>6.9000000000000006E-2</v>
      </c>
      <c r="P25" s="7">
        <v>22660</v>
      </c>
      <c r="Q25" s="6">
        <v>8.3000000000000004E-2</v>
      </c>
      <c r="R25" s="7">
        <v>275.95999999999998</v>
      </c>
      <c r="S25" s="6">
        <v>-0.06</v>
      </c>
      <c r="T25" s="7">
        <v>183668</v>
      </c>
      <c r="U25" s="6">
        <v>2.1000000000000001E-2</v>
      </c>
      <c r="V25" s="6">
        <v>7.0000000000000001E-3</v>
      </c>
      <c r="W25" s="6">
        <v>0.68100000000000005</v>
      </c>
      <c r="X25" s="6">
        <v>0.73699999999999999</v>
      </c>
      <c r="Y25" s="6">
        <v>0.55800000000000005</v>
      </c>
      <c r="Z25" s="6">
        <v>0.17799999999999999</v>
      </c>
      <c r="AA25" s="6">
        <v>0.73699999999999999</v>
      </c>
      <c r="AB25" s="6">
        <v>0.55400000000000005</v>
      </c>
      <c r="AC25" s="6">
        <v>0.183</v>
      </c>
      <c r="AD25" s="6">
        <v>0.752</v>
      </c>
      <c r="AE25" s="6">
        <v>0.13300000000000001</v>
      </c>
      <c r="AF25" s="6">
        <v>0.61899999999999999</v>
      </c>
      <c r="AG25" s="6">
        <v>0.84699999999999998</v>
      </c>
      <c r="AH25" s="6">
        <v>0.66900000000000004</v>
      </c>
      <c r="AI25" s="6">
        <v>0.17799999999999999</v>
      </c>
      <c r="AJ25" s="6">
        <v>1.0216000000000001</v>
      </c>
      <c r="AK25" s="7">
        <v>-3961</v>
      </c>
    </row>
    <row r="26" spans="1:37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0.74299999999999999</v>
      </c>
      <c r="F26" s="3">
        <v>3.4000000000000002E-2</v>
      </c>
      <c r="G26" s="3">
        <v>2.4E-2</v>
      </c>
      <c r="H26" s="3">
        <v>0</v>
      </c>
      <c r="I26" s="4">
        <v>1</v>
      </c>
      <c r="J26" s="3">
        <v>-0.75</v>
      </c>
      <c r="K26" s="4">
        <v>85</v>
      </c>
      <c r="L26" s="4">
        <v>-2</v>
      </c>
      <c r="M26" s="4">
        <v>1101</v>
      </c>
      <c r="N26" s="4">
        <v>1437</v>
      </c>
      <c r="O26" s="3">
        <v>-0.23400000000000001</v>
      </c>
      <c r="P26" s="4">
        <v>34</v>
      </c>
      <c r="Q26" s="3">
        <v>-0.95099999999999996</v>
      </c>
      <c r="R26" s="4">
        <v>33.92</v>
      </c>
      <c r="S26" s="3">
        <v>-0.84499999999999997</v>
      </c>
      <c r="T26" s="4">
        <v>1284</v>
      </c>
      <c r="U26" s="3">
        <v>-0.23200000000000001</v>
      </c>
      <c r="V26" s="3">
        <v>0</v>
      </c>
      <c r="W26" s="3">
        <v>0</v>
      </c>
      <c r="X26" s="3">
        <v>0.26</v>
      </c>
      <c r="Y26" s="3">
        <v>0.26</v>
      </c>
      <c r="Z26" s="3">
        <v>0</v>
      </c>
      <c r="AA26" s="3">
        <v>0.26</v>
      </c>
      <c r="AB26" s="3">
        <v>0.26</v>
      </c>
      <c r="AC26" s="3">
        <v>0</v>
      </c>
      <c r="AD26" s="3">
        <v>0</v>
      </c>
      <c r="AE26" s="3">
        <v>0</v>
      </c>
      <c r="AF26" s="3">
        <v>0</v>
      </c>
      <c r="AG26" s="3">
        <v>0.45200000000000001</v>
      </c>
      <c r="AH26" s="3">
        <v>0.443</v>
      </c>
      <c r="AI26" s="3">
        <v>8.9999999999999993E-3</v>
      </c>
      <c r="AJ26" s="3">
        <v>0.62739999999999996</v>
      </c>
      <c r="AK26" s="4">
        <v>478</v>
      </c>
    </row>
    <row r="27" spans="1:37" x14ac:dyDescent="0.25">
      <c r="A27" s="12" t="s">
        <v>61</v>
      </c>
      <c r="B27" s="12" t="s">
        <v>39</v>
      </c>
      <c r="C27" s="5" t="s">
        <v>42</v>
      </c>
      <c r="D27" s="5"/>
      <c r="E27" s="6">
        <v>0.74299999999999999</v>
      </c>
      <c r="F27" s="6">
        <v>3.4000000000000002E-2</v>
      </c>
      <c r="G27" s="6">
        <v>2.4E-2</v>
      </c>
      <c r="H27" s="6">
        <v>0</v>
      </c>
      <c r="I27" s="7">
        <v>1</v>
      </c>
      <c r="J27" s="6">
        <v>-0.75</v>
      </c>
      <c r="K27" s="7">
        <v>85</v>
      </c>
      <c r="L27" s="7">
        <v>-2</v>
      </c>
      <c r="M27" s="7">
        <v>1101</v>
      </c>
      <c r="N27" s="7">
        <v>1437</v>
      </c>
      <c r="O27" s="6">
        <v>-0.23400000000000001</v>
      </c>
      <c r="P27" s="7">
        <v>34</v>
      </c>
      <c r="Q27" s="6">
        <v>-0.95099999999999996</v>
      </c>
      <c r="R27" s="7">
        <v>33.92</v>
      </c>
      <c r="S27" s="6">
        <v>-0.84499999999999997</v>
      </c>
      <c r="T27" s="7">
        <v>1284</v>
      </c>
      <c r="U27" s="6">
        <v>-0.23200000000000001</v>
      </c>
      <c r="V27" s="6">
        <v>0</v>
      </c>
      <c r="W27" s="6">
        <v>0</v>
      </c>
      <c r="X27" s="6">
        <v>0.26</v>
      </c>
      <c r="Y27" s="6">
        <v>0.26</v>
      </c>
      <c r="Z27" s="6">
        <v>0</v>
      </c>
      <c r="AA27" s="6">
        <v>0.26</v>
      </c>
      <c r="AB27" s="6">
        <v>0.26</v>
      </c>
      <c r="AC27" s="6">
        <v>0</v>
      </c>
      <c r="AD27" s="6">
        <v>0</v>
      </c>
      <c r="AE27" s="6">
        <v>0</v>
      </c>
      <c r="AF27" s="6">
        <v>0</v>
      </c>
      <c r="AG27" s="6">
        <v>0.45200000000000001</v>
      </c>
      <c r="AH27" s="6">
        <v>0.443</v>
      </c>
      <c r="AI27" s="6">
        <v>8.9999999999999993E-3</v>
      </c>
      <c r="AJ27" s="6">
        <v>0.62739999999999996</v>
      </c>
      <c r="AK27" s="7">
        <v>478</v>
      </c>
    </row>
    <row r="28" spans="1:37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0.51500000000000001</v>
      </c>
      <c r="F28" s="3">
        <v>1.6E-2</v>
      </c>
      <c r="G28" s="3">
        <v>1.415</v>
      </c>
      <c r="H28" s="3">
        <v>1.415</v>
      </c>
      <c r="I28" s="4">
        <v>10</v>
      </c>
      <c r="J28" s="3">
        <v>0.66700000000000004</v>
      </c>
      <c r="K28" s="4">
        <v>71</v>
      </c>
      <c r="L28" s="4">
        <v>9</v>
      </c>
      <c r="M28" s="4">
        <v>7295</v>
      </c>
      <c r="N28" s="4">
        <v>3779</v>
      </c>
      <c r="O28" s="3">
        <v>0.93100000000000005</v>
      </c>
      <c r="P28" s="4">
        <v>5349</v>
      </c>
      <c r="Q28" s="3">
        <v>0.35499999999999998</v>
      </c>
      <c r="R28" s="4">
        <v>534.86</v>
      </c>
      <c r="S28" s="3">
        <v>-0.187</v>
      </c>
      <c r="T28" s="4">
        <v>4147</v>
      </c>
      <c r="U28" s="3">
        <v>-0.24199999999999999</v>
      </c>
      <c r="V28" s="3">
        <v>1.7000000000000001E-2</v>
      </c>
      <c r="W28" s="3">
        <v>7.6999999999999999E-2</v>
      </c>
      <c r="X28" s="3">
        <v>0.16400000000000001</v>
      </c>
      <c r="Y28" s="3">
        <v>0.59399999999999997</v>
      </c>
      <c r="Z28" s="3">
        <v>-0.42899999999999999</v>
      </c>
      <c r="AA28" s="3">
        <v>0.16400000000000001</v>
      </c>
      <c r="AB28" s="3">
        <v>0.59399999999999997</v>
      </c>
      <c r="AC28" s="3">
        <v>-0.42899999999999999</v>
      </c>
      <c r="AD28" s="3">
        <v>0</v>
      </c>
      <c r="AE28" s="3">
        <v>0</v>
      </c>
      <c r="AF28" s="3">
        <v>0</v>
      </c>
      <c r="AG28" s="3">
        <v>0.23400000000000001</v>
      </c>
      <c r="AH28" s="3">
        <v>0.66400000000000003</v>
      </c>
      <c r="AI28" s="3">
        <v>-0.43</v>
      </c>
      <c r="AJ28" s="3">
        <v>0.4254</v>
      </c>
      <c r="AK28" s="4">
        <v>2383</v>
      </c>
    </row>
    <row r="29" spans="1:37" x14ac:dyDescent="0.25">
      <c r="A29" s="12" t="s">
        <v>61</v>
      </c>
      <c r="B29" s="12" t="s">
        <v>43</v>
      </c>
      <c r="C29" s="5" t="s">
        <v>42</v>
      </c>
      <c r="D29" s="5"/>
      <c r="E29" s="6">
        <v>0.51500000000000001</v>
      </c>
      <c r="F29" s="6">
        <v>1.6E-2</v>
      </c>
      <c r="G29" s="6">
        <v>1.415</v>
      </c>
      <c r="H29" s="6">
        <v>1.415</v>
      </c>
      <c r="I29" s="7">
        <v>10</v>
      </c>
      <c r="J29" s="6">
        <v>0.66700000000000004</v>
      </c>
      <c r="K29" s="7">
        <v>71</v>
      </c>
      <c r="L29" s="7">
        <v>9</v>
      </c>
      <c r="M29" s="7">
        <v>7295</v>
      </c>
      <c r="N29" s="7">
        <v>3779</v>
      </c>
      <c r="O29" s="6">
        <v>0.93100000000000005</v>
      </c>
      <c r="P29" s="7">
        <v>5349</v>
      </c>
      <c r="Q29" s="6">
        <v>0.35499999999999998</v>
      </c>
      <c r="R29" s="7">
        <v>534.86</v>
      </c>
      <c r="S29" s="6">
        <v>-0.187</v>
      </c>
      <c r="T29" s="7">
        <v>4147</v>
      </c>
      <c r="U29" s="6">
        <v>-0.24199999999999999</v>
      </c>
      <c r="V29" s="6">
        <v>1.7000000000000001E-2</v>
      </c>
      <c r="W29" s="6">
        <v>7.6999999999999999E-2</v>
      </c>
      <c r="X29" s="6">
        <v>0.16400000000000001</v>
      </c>
      <c r="Y29" s="6">
        <v>0.59399999999999997</v>
      </c>
      <c r="Z29" s="6">
        <v>-0.42899999999999999</v>
      </c>
      <c r="AA29" s="6">
        <v>0.16400000000000001</v>
      </c>
      <c r="AB29" s="6">
        <v>0.59399999999999997</v>
      </c>
      <c r="AC29" s="6">
        <v>-0.42899999999999999</v>
      </c>
      <c r="AD29" s="6">
        <v>0</v>
      </c>
      <c r="AE29" s="6">
        <v>0</v>
      </c>
      <c r="AF29" s="6">
        <v>0</v>
      </c>
      <c r="AG29" s="6">
        <v>0.23400000000000001</v>
      </c>
      <c r="AH29" s="6">
        <v>0.66400000000000003</v>
      </c>
      <c r="AI29" s="6">
        <v>-0.43</v>
      </c>
      <c r="AJ29" s="6">
        <v>0.4254</v>
      </c>
      <c r="AK29" s="7">
        <v>2383</v>
      </c>
    </row>
    <row r="30" spans="1:37" x14ac:dyDescent="0.25">
      <c r="A30" s="12" t="s">
        <v>61</v>
      </c>
      <c r="B30" s="12" t="s">
        <v>64</v>
      </c>
      <c r="C30" s="2" t="s">
        <v>65</v>
      </c>
      <c r="D30" s="2" t="s">
        <v>65</v>
      </c>
      <c r="E30" s="3">
        <v>0.90900000000000003</v>
      </c>
      <c r="F30" s="3">
        <v>4.1000000000000002E-2</v>
      </c>
      <c r="G30" s="3">
        <v>0.50800000000000001</v>
      </c>
      <c r="H30" s="3">
        <v>0.50800000000000001</v>
      </c>
      <c r="I30" s="4">
        <v>2</v>
      </c>
      <c r="J30" s="3">
        <v>0</v>
      </c>
      <c r="K30" s="4">
        <v>49</v>
      </c>
      <c r="L30" s="4">
        <v>0</v>
      </c>
      <c r="M30" s="4">
        <v>2895</v>
      </c>
      <c r="N30" s="4">
        <v>2044</v>
      </c>
      <c r="O30" s="3">
        <v>0.41699999999999998</v>
      </c>
      <c r="P30" s="4">
        <v>1038</v>
      </c>
      <c r="Q30" s="3">
        <v>-0.25800000000000001</v>
      </c>
      <c r="R30" s="4">
        <v>518.79999999999995</v>
      </c>
      <c r="S30" s="3">
        <v>-0.25800000000000001</v>
      </c>
      <c r="T30" s="4">
        <v>8363</v>
      </c>
      <c r="U30" s="3">
        <v>-0.06</v>
      </c>
      <c r="V30" s="3">
        <v>8.0000000000000002E-3</v>
      </c>
      <c r="W30" s="3">
        <v>0.30299999999999999</v>
      </c>
      <c r="X30" s="3">
        <v>0.44700000000000001</v>
      </c>
      <c r="Y30" s="3">
        <v>0.4</v>
      </c>
      <c r="Z30" s="3">
        <v>4.7E-2</v>
      </c>
      <c r="AA30" s="3">
        <v>0.44700000000000001</v>
      </c>
      <c r="AB30" s="3">
        <v>0.39500000000000002</v>
      </c>
      <c r="AC30" s="3">
        <v>5.1999999999999998E-2</v>
      </c>
      <c r="AD30" s="3">
        <v>0</v>
      </c>
      <c r="AE30" s="3">
        <v>0</v>
      </c>
      <c r="AF30" s="3">
        <v>0</v>
      </c>
      <c r="AG30" s="3">
        <v>0.64900000000000002</v>
      </c>
      <c r="AH30" s="3">
        <v>0.60199999999999998</v>
      </c>
      <c r="AI30" s="3">
        <v>4.7E-2</v>
      </c>
      <c r="AJ30" s="3">
        <v>0.76800000000000002</v>
      </c>
      <c r="AK30" s="4">
        <v>1940</v>
      </c>
    </row>
    <row r="31" spans="1:37" x14ac:dyDescent="0.25">
      <c r="A31" s="12" t="s">
        <v>61</v>
      </c>
      <c r="B31" s="12" t="s">
        <v>64</v>
      </c>
      <c r="C31" s="5" t="s">
        <v>42</v>
      </c>
      <c r="D31" s="5"/>
      <c r="E31" s="6">
        <v>0.90900000000000003</v>
      </c>
      <c r="F31" s="6">
        <v>4.1000000000000002E-2</v>
      </c>
      <c r="G31" s="6">
        <v>0.50800000000000001</v>
      </c>
      <c r="H31" s="6">
        <v>0.50800000000000001</v>
      </c>
      <c r="I31" s="7">
        <v>2</v>
      </c>
      <c r="J31" s="6">
        <v>0</v>
      </c>
      <c r="K31" s="7">
        <v>49</v>
      </c>
      <c r="L31" s="7">
        <v>0</v>
      </c>
      <c r="M31" s="7">
        <v>2895</v>
      </c>
      <c r="N31" s="7">
        <v>2044</v>
      </c>
      <c r="O31" s="6">
        <v>0.41699999999999998</v>
      </c>
      <c r="P31" s="7">
        <v>1038</v>
      </c>
      <c r="Q31" s="6">
        <v>-0.25800000000000001</v>
      </c>
      <c r="R31" s="7">
        <v>518.79999999999995</v>
      </c>
      <c r="S31" s="6">
        <v>-0.25800000000000001</v>
      </c>
      <c r="T31" s="7">
        <v>8363</v>
      </c>
      <c r="U31" s="6">
        <v>-0.06</v>
      </c>
      <c r="V31" s="6">
        <v>8.0000000000000002E-3</v>
      </c>
      <c r="W31" s="6">
        <v>0.30299999999999999</v>
      </c>
      <c r="X31" s="6">
        <v>0.44700000000000001</v>
      </c>
      <c r="Y31" s="6">
        <v>0.4</v>
      </c>
      <c r="Z31" s="6">
        <v>4.7E-2</v>
      </c>
      <c r="AA31" s="6">
        <v>0.44700000000000001</v>
      </c>
      <c r="AB31" s="6">
        <v>0.39500000000000002</v>
      </c>
      <c r="AC31" s="6">
        <v>5.1999999999999998E-2</v>
      </c>
      <c r="AD31" s="6">
        <v>0</v>
      </c>
      <c r="AE31" s="6">
        <v>0</v>
      </c>
      <c r="AF31" s="6">
        <v>0</v>
      </c>
      <c r="AG31" s="6">
        <v>0.64900000000000002</v>
      </c>
      <c r="AH31" s="6">
        <v>0.60199999999999998</v>
      </c>
      <c r="AI31" s="6">
        <v>4.7E-2</v>
      </c>
      <c r="AJ31" s="6">
        <v>0.76800000000000002</v>
      </c>
      <c r="AK31" s="7">
        <v>1940</v>
      </c>
    </row>
    <row r="32" spans="1:37" x14ac:dyDescent="0.25">
      <c r="A32" s="12" t="s">
        <v>61</v>
      </c>
      <c r="B32" s="12" t="s">
        <v>66</v>
      </c>
      <c r="C32" s="2" t="s">
        <v>55</v>
      </c>
      <c r="D32" s="2" t="s">
        <v>67</v>
      </c>
      <c r="E32" s="3">
        <v>0.81100000000000005</v>
      </c>
      <c r="F32" s="3">
        <v>0</v>
      </c>
      <c r="G32" s="3">
        <v>0.374</v>
      </c>
      <c r="H32" s="3">
        <v>0.374</v>
      </c>
      <c r="I32" s="4">
        <v>1</v>
      </c>
      <c r="J32" s="3">
        <v>-0.5</v>
      </c>
      <c r="K32" s="4">
        <v>49</v>
      </c>
      <c r="L32" s="4">
        <v>1</v>
      </c>
      <c r="M32" s="4">
        <v>5523</v>
      </c>
      <c r="N32" s="4">
        <v>4659</v>
      </c>
      <c r="O32" s="3">
        <v>0.186</v>
      </c>
      <c r="P32" s="4">
        <v>1743</v>
      </c>
      <c r="Q32" s="3">
        <v>0.54800000000000004</v>
      </c>
      <c r="R32" s="4">
        <v>1743.17</v>
      </c>
      <c r="S32" s="3">
        <v>2.097</v>
      </c>
      <c r="T32" s="4">
        <v>9229</v>
      </c>
      <c r="U32" s="3">
        <v>-2.5000000000000001E-2</v>
      </c>
      <c r="V32" s="3">
        <v>1.7000000000000001E-2</v>
      </c>
      <c r="W32" s="3">
        <v>0</v>
      </c>
      <c r="X32" s="3">
        <v>0.39400000000000002</v>
      </c>
      <c r="Y32" s="3">
        <v>0.39400000000000002</v>
      </c>
      <c r="Z32" s="3">
        <v>0</v>
      </c>
      <c r="AA32" s="3">
        <v>0.39400000000000002</v>
      </c>
      <c r="AB32" s="3">
        <v>0.39400000000000002</v>
      </c>
      <c r="AC32" s="3">
        <v>0</v>
      </c>
      <c r="AD32" s="3">
        <v>0</v>
      </c>
      <c r="AE32" s="3">
        <v>0</v>
      </c>
      <c r="AF32" s="3">
        <v>0</v>
      </c>
      <c r="AG32" s="3">
        <v>0.59699999999999998</v>
      </c>
      <c r="AH32" s="3">
        <v>0.59</v>
      </c>
      <c r="AI32" s="3">
        <v>7.0000000000000001E-3</v>
      </c>
      <c r="AJ32" s="3">
        <v>0.69269999999999998</v>
      </c>
      <c r="AK32" s="4">
        <v>2836</v>
      </c>
    </row>
    <row r="33" spans="1:37" x14ac:dyDescent="0.25">
      <c r="A33" s="12" t="s">
        <v>61</v>
      </c>
      <c r="B33" s="12" t="s">
        <v>66</v>
      </c>
      <c r="C33" s="5" t="s">
        <v>42</v>
      </c>
      <c r="D33" s="5"/>
      <c r="E33" s="6">
        <v>0.81100000000000005</v>
      </c>
      <c r="F33" s="6">
        <v>0</v>
      </c>
      <c r="G33" s="6">
        <v>0.374</v>
      </c>
      <c r="H33" s="6">
        <v>0.374</v>
      </c>
      <c r="I33" s="7">
        <v>1</v>
      </c>
      <c r="J33" s="6">
        <v>-0.5</v>
      </c>
      <c r="K33" s="7">
        <v>49</v>
      </c>
      <c r="L33" s="7">
        <v>1</v>
      </c>
      <c r="M33" s="7">
        <v>5523</v>
      </c>
      <c r="N33" s="7">
        <v>4659</v>
      </c>
      <c r="O33" s="6">
        <v>0.186</v>
      </c>
      <c r="P33" s="7">
        <v>1743</v>
      </c>
      <c r="Q33" s="6">
        <v>0.54800000000000004</v>
      </c>
      <c r="R33" s="7">
        <v>1743.17</v>
      </c>
      <c r="S33" s="6">
        <v>2.097</v>
      </c>
      <c r="T33" s="7">
        <v>9229</v>
      </c>
      <c r="U33" s="6">
        <v>-2.5000000000000001E-2</v>
      </c>
      <c r="V33" s="6">
        <v>1.7000000000000001E-2</v>
      </c>
      <c r="W33" s="6">
        <v>0</v>
      </c>
      <c r="X33" s="6">
        <v>0.39400000000000002</v>
      </c>
      <c r="Y33" s="6">
        <v>0.39400000000000002</v>
      </c>
      <c r="Z33" s="6">
        <v>0</v>
      </c>
      <c r="AA33" s="6">
        <v>0.39400000000000002</v>
      </c>
      <c r="AB33" s="6">
        <v>0.39400000000000002</v>
      </c>
      <c r="AC33" s="6">
        <v>0</v>
      </c>
      <c r="AD33" s="6">
        <v>0</v>
      </c>
      <c r="AE33" s="6">
        <v>0</v>
      </c>
      <c r="AF33" s="6">
        <v>0</v>
      </c>
      <c r="AG33" s="6">
        <v>0.59699999999999998</v>
      </c>
      <c r="AH33" s="6">
        <v>0.59</v>
      </c>
      <c r="AI33" s="6">
        <v>7.0000000000000001E-3</v>
      </c>
      <c r="AJ33" s="6">
        <v>0.69269999999999998</v>
      </c>
      <c r="AK33" s="7">
        <v>2836</v>
      </c>
    </row>
    <row r="34" spans="1:37" x14ac:dyDescent="0.25">
      <c r="A34" s="12" t="s">
        <v>61</v>
      </c>
      <c r="B34" s="12" t="s">
        <v>68</v>
      </c>
      <c r="C34" s="2" t="s">
        <v>69</v>
      </c>
      <c r="D34" s="2" t="s">
        <v>70</v>
      </c>
      <c r="E34" s="3">
        <v>1</v>
      </c>
      <c r="F34" s="3">
        <v>0</v>
      </c>
      <c r="G34" s="3">
        <v>0</v>
      </c>
      <c r="H34" s="3">
        <v>0</v>
      </c>
      <c r="I34" s="4">
        <v>0</v>
      </c>
      <c r="J34" s="3">
        <v>-1</v>
      </c>
      <c r="K34" s="4">
        <v>14</v>
      </c>
      <c r="L34" s="4">
        <v>0</v>
      </c>
      <c r="M34" s="4">
        <v>920</v>
      </c>
      <c r="N34" s="4">
        <v>920</v>
      </c>
      <c r="O34" s="3">
        <v>0</v>
      </c>
      <c r="P34" s="4">
        <v>0</v>
      </c>
      <c r="Q34" s="3">
        <v>-1</v>
      </c>
      <c r="R34" s="8"/>
      <c r="S34" s="8"/>
      <c r="T34" s="4">
        <v>1078</v>
      </c>
      <c r="U34" s="3">
        <v>8.0000000000000002E-3</v>
      </c>
      <c r="V34" s="3">
        <v>0</v>
      </c>
      <c r="W34" s="3">
        <v>0</v>
      </c>
      <c r="X34" s="3">
        <v>0.19800000000000001</v>
      </c>
      <c r="Y34" s="3">
        <v>0.19700000000000001</v>
      </c>
      <c r="Z34" s="3">
        <v>1E-3</v>
      </c>
      <c r="AA34" s="3">
        <v>0.19800000000000001</v>
      </c>
      <c r="AB34" s="3">
        <v>0.19700000000000001</v>
      </c>
      <c r="AC34" s="3">
        <v>1E-3</v>
      </c>
      <c r="AD34" s="8"/>
      <c r="AE34" s="3">
        <v>0</v>
      </c>
      <c r="AF34" s="8"/>
      <c r="AG34" s="3">
        <v>0.34899999999999998</v>
      </c>
      <c r="AH34" s="3">
        <v>0.34699999999999998</v>
      </c>
      <c r="AI34" s="3">
        <v>2E-3</v>
      </c>
      <c r="AJ34" s="3">
        <v>0.57869999999999999</v>
      </c>
      <c r="AK34" s="4">
        <v>454</v>
      </c>
    </row>
    <row r="35" spans="1:37" x14ac:dyDescent="0.25">
      <c r="A35" s="12" t="s">
        <v>61</v>
      </c>
      <c r="B35" s="12" t="s">
        <v>68</v>
      </c>
      <c r="C35" s="5" t="s">
        <v>42</v>
      </c>
      <c r="D35" s="5"/>
      <c r="E35" s="6">
        <v>1</v>
      </c>
      <c r="F35" s="6">
        <v>0</v>
      </c>
      <c r="G35" s="6">
        <v>0</v>
      </c>
      <c r="H35" s="6">
        <v>0</v>
      </c>
      <c r="I35" s="7">
        <v>0</v>
      </c>
      <c r="J35" s="6">
        <v>-1</v>
      </c>
      <c r="K35" s="7">
        <v>14</v>
      </c>
      <c r="L35" s="7">
        <v>0</v>
      </c>
      <c r="M35" s="7">
        <v>920</v>
      </c>
      <c r="N35" s="7">
        <v>920</v>
      </c>
      <c r="O35" s="6">
        <v>0</v>
      </c>
      <c r="P35" s="7">
        <v>0</v>
      </c>
      <c r="Q35" s="6">
        <v>-1</v>
      </c>
      <c r="R35" s="5"/>
      <c r="S35" s="5"/>
      <c r="T35" s="7">
        <v>1078</v>
      </c>
      <c r="U35" s="6">
        <v>8.0000000000000002E-3</v>
      </c>
      <c r="V35" s="6">
        <v>0</v>
      </c>
      <c r="W35" s="6">
        <v>0</v>
      </c>
      <c r="X35" s="6">
        <v>0.19800000000000001</v>
      </c>
      <c r="Y35" s="6">
        <v>0.19700000000000001</v>
      </c>
      <c r="Z35" s="6">
        <v>1E-3</v>
      </c>
      <c r="AA35" s="6">
        <v>0.19800000000000001</v>
      </c>
      <c r="AB35" s="6">
        <v>0.19700000000000001</v>
      </c>
      <c r="AC35" s="6">
        <v>1E-3</v>
      </c>
      <c r="AD35" s="5"/>
      <c r="AE35" s="6">
        <v>0</v>
      </c>
      <c r="AF35" s="5"/>
      <c r="AG35" s="6">
        <v>0.34899999999999998</v>
      </c>
      <c r="AH35" s="6">
        <v>0.34699999999999998</v>
      </c>
      <c r="AI35" s="6">
        <v>2E-3</v>
      </c>
      <c r="AJ35" s="6">
        <v>0.57869999999999999</v>
      </c>
      <c r="AK35" s="7">
        <v>454</v>
      </c>
    </row>
    <row r="36" spans="1:37" x14ac:dyDescent="0.25">
      <c r="A36" s="12" t="s">
        <v>61</v>
      </c>
      <c r="B36" s="12" t="s">
        <v>46</v>
      </c>
      <c r="C36" s="2" t="s">
        <v>71</v>
      </c>
      <c r="D36" s="2" t="s">
        <v>71</v>
      </c>
      <c r="E36" s="3">
        <v>1.1379999999999999</v>
      </c>
      <c r="F36" s="3">
        <v>0</v>
      </c>
      <c r="G36" s="3">
        <v>0</v>
      </c>
      <c r="H36" s="3">
        <v>0</v>
      </c>
      <c r="I36" s="4">
        <v>0</v>
      </c>
      <c r="J36" s="3">
        <v>-1</v>
      </c>
      <c r="K36" s="4">
        <v>66</v>
      </c>
      <c r="L36" s="4">
        <v>0</v>
      </c>
      <c r="M36" s="4">
        <v>5236</v>
      </c>
      <c r="N36" s="4">
        <v>4602</v>
      </c>
      <c r="O36" s="3">
        <v>0.13800000000000001</v>
      </c>
      <c r="P36" s="4">
        <v>0</v>
      </c>
      <c r="Q36" s="3">
        <v>-1</v>
      </c>
      <c r="R36" s="8"/>
      <c r="S36" s="8"/>
      <c r="T36" s="4">
        <v>5635</v>
      </c>
      <c r="U36" s="3">
        <v>7.9000000000000001E-2</v>
      </c>
      <c r="V36" s="3">
        <v>0</v>
      </c>
      <c r="W36" s="3">
        <v>3.1970000000000001</v>
      </c>
      <c r="X36" s="3">
        <v>3.2250000000000001</v>
      </c>
      <c r="Y36" s="3">
        <v>0.35599999999999998</v>
      </c>
      <c r="Z36" s="3">
        <v>2.87</v>
      </c>
      <c r="AA36" s="3">
        <v>3.2250000000000001</v>
      </c>
      <c r="AB36" s="3">
        <v>0.35599999999999998</v>
      </c>
      <c r="AC36" s="3">
        <v>2.87</v>
      </c>
      <c r="AD36" s="8"/>
      <c r="AE36" s="3">
        <v>5.7859999999999996</v>
      </c>
      <c r="AF36" s="8"/>
      <c r="AG36" s="3">
        <v>3.423</v>
      </c>
      <c r="AH36" s="3">
        <v>0.56000000000000005</v>
      </c>
      <c r="AI36" s="3">
        <v>2.863</v>
      </c>
      <c r="AJ36" s="3">
        <v>3.5895000000000001</v>
      </c>
      <c r="AK36" s="4">
        <v>-14592</v>
      </c>
    </row>
    <row r="37" spans="1:37" x14ac:dyDescent="0.25">
      <c r="A37" s="12" t="s">
        <v>61</v>
      </c>
      <c r="B37" s="12" t="s">
        <v>46</v>
      </c>
      <c r="C37" s="2" t="s">
        <v>72</v>
      </c>
      <c r="D37" s="2" t="s">
        <v>72</v>
      </c>
      <c r="E37" s="3">
        <v>1.0309999999999999</v>
      </c>
      <c r="F37" s="3">
        <v>0</v>
      </c>
      <c r="G37" s="3">
        <v>0.28399999999999997</v>
      </c>
      <c r="H37" s="3">
        <v>0.28399999999999997</v>
      </c>
      <c r="I37" s="4">
        <v>1</v>
      </c>
      <c r="J37" s="3">
        <v>0</v>
      </c>
      <c r="K37" s="4">
        <v>32</v>
      </c>
      <c r="L37" s="4">
        <v>1</v>
      </c>
      <c r="M37" s="4">
        <v>2113</v>
      </c>
      <c r="N37" s="4">
        <v>1607</v>
      </c>
      <c r="O37" s="3">
        <v>0.315</v>
      </c>
      <c r="P37" s="4">
        <v>457</v>
      </c>
      <c r="Q37" s="3">
        <v>1.431</v>
      </c>
      <c r="R37" s="4">
        <v>456.74</v>
      </c>
      <c r="S37" s="3">
        <v>1.431</v>
      </c>
      <c r="T37" s="4">
        <v>1262</v>
      </c>
      <c r="U37" s="3">
        <v>9.9000000000000005E-2</v>
      </c>
      <c r="V37" s="3">
        <v>0</v>
      </c>
      <c r="W37" s="3">
        <v>0.39700000000000002</v>
      </c>
      <c r="X37" s="3">
        <v>0.48099999999999998</v>
      </c>
      <c r="Y37" s="3">
        <v>2.1419999999999999</v>
      </c>
      <c r="Z37" s="3">
        <v>-1.661</v>
      </c>
      <c r="AA37" s="3">
        <v>0.48099999999999998</v>
      </c>
      <c r="AB37" s="3">
        <v>2.1419999999999999</v>
      </c>
      <c r="AC37" s="3">
        <v>-1.661</v>
      </c>
      <c r="AD37" s="3">
        <v>7.4</v>
      </c>
      <c r="AE37" s="3">
        <v>0</v>
      </c>
      <c r="AF37" s="3">
        <v>7.4</v>
      </c>
      <c r="AG37" s="3">
        <v>0.73299999999999998</v>
      </c>
      <c r="AH37" s="3">
        <v>2.3940000000000001</v>
      </c>
      <c r="AI37" s="3">
        <v>-1.661</v>
      </c>
      <c r="AJ37" s="3">
        <v>0.97309999999999997</v>
      </c>
      <c r="AK37" s="4">
        <v>34</v>
      </c>
    </row>
    <row r="38" spans="1:37" x14ac:dyDescent="0.25">
      <c r="A38" s="12" t="s">
        <v>61</v>
      </c>
      <c r="B38" s="12" t="s">
        <v>46</v>
      </c>
      <c r="C38" s="5" t="s">
        <v>42</v>
      </c>
      <c r="D38" s="5"/>
      <c r="E38" s="6">
        <v>1.1100000000000001</v>
      </c>
      <c r="F38" s="6">
        <v>0</v>
      </c>
      <c r="G38" s="6">
        <v>7.3999999999999996E-2</v>
      </c>
      <c r="H38" s="6">
        <v>7.3999999999999996E-2</v>
      </c>
      <c r="I38" s="7">
        <v>1</v>
      </c>
      <c r="J38" s="6">
        <v>-0.66700000000000004</v>
      </c>
      <c r="K38" s="7">
        <v>98</v>
      </c>
      <c r="L38" s="7">
        <v>1</v>
      </c>
      <c r="M38" s="7">
        <v>7349</v>
      </c>
      <c r="N38" s="7">
        <v>6209</v>
      </c>
      <c r="O38" s="6">
        <v>0.184</v>
      </c>
      <c r="P38" s="7">
        <v>457</v>
      </c>
      <c r="Q38" s="6">
        <v>-0.67600000000000005</v>
      </c>
      <c r="R38" s="7">
        <v>456.74</v>
      </c>
      <c r="S38" s="6">
        <v>-2.9000000000000001E-2</v>
      </c>
      <c r="T38" s="7">
        <v>6897</v>
      </c>
      <c r="U38" s="6">
        <v>8.3000000000000004E-2</v>
      </c>
      <c r="V38" s="6">
        <v>0</v>
      </c>
      <c r="W38" s="6">
        <v>2.6840000000000002</v>
      </c>
      <c r="X38" s="6">
        <v>2.7229999999999999</v>
      </c>
      <c r="Y38" s="6">
        <v>0.67800000000000005</v>
      </c>
      <c r="Z38" s="6">
        <v>2.0449999999999999</v>
      </c>
      <c r="AA38" s="6">
        <v>2.7229999999999999</v>
      </c>
      <c r="AB38" s="6">
        <v>0.67800000000000005</v>
      </c>
      <c r="AC38" s="6">
        <v>2.0449999999999999</v>
      </c>
      <c r="AD38" s="6">
        <v>7.4</v>
      </c>
      <c r="AE38" s="6">
        <v>5.6040000000000001</v>
      </c>
      <c r="AF38" s="6">
        <v>1.7949999999999999</v>
      </c>
      <c r="AG38" s="6">
        <v>2.93</v>
      </c>
      <c r="AH38" s="6">
        <v>0.89100000000000001</v>
      </c>
      <c r="AI38" s="6">
        <v>2.04</v>
      </c>
      <c r="AJ38" s="6">
        <v>3.1107999999999998</v>
      </c>
      <c r="AK38" s="7">
        <v>-14558</v>
      </c>
    </row>
    <row r="39" spans="1:37" ht="33.75" x14ac:dyDescent="0.25">
      <c r="A39" s="12" t="s">
        <v>61</v>
      </c>
      <c r="B39" s="12" t="s">
        <v>73</v>
      </c>
      <c r="C39" s="2" t="s">
        <v>73</v>
      </c>
      <c r="D39" s="2" t="s">
        <v>74</v>
      </c>
      <c r="E39" s="3">
        <v>0.16500000000000001</v>
      </c>
      <c r="F39" s="3">
        <v>0</v>
      </c>
      <c r="G39" s="3">
        <v>0</v>
      </c>
      <c r="H39" s="3">
        <v>0</v>
      </c>
      <c r="I39" s="4">
        <v>0</v>
      </c>
      <c r="J39" s="3">
        <v>-1</v>
      </c>
      <c r="K39" s="4">
        <v>9</v>
      </c>
      <c r="L39" s="4">
        <v>0</v>
      </c>
      <c r="M39" s="4">
        <v>457</v>
      </c>
      <c r="N39" s="4">
        <v>2764</v>
      </c>
      <c r="O39" s="3">
        <v>-0.83499999999999996</v>
      </c>
      <c r="P39" s="4">
        <v>0</v>
      </c>
      <c r="Q39" s="3">
        <v>-1</v>
      </c>
      <c r="R39" s="8"/>
      <c r="S39" s="8"/>
      <c r="T39" s="4">
        <v>820</v>
      </c>
      <c r="U39" s="3">
        <v>-0.312</v>
      </c>
      <c r="V39" s="3">
        <v>0</v>
      </c>
      <c r="W39" s="3">
        <v>0</v>
      </c>
      <c r="X39" s="3">
        <v>0.33900000000000002</v>
      </c>
      <c r="Y39" s="3">
        <v>1.599</v>
      </c>
      <c r="Z39" s="3">
        <v>-1.26</v>
      </c>
      <c r="AA39" s="3">
        <v>0.33900000000000002</v>
      </c>
      <c r="AB39" s="3">
        <v>1.599</v>
      </c>
      <c r="AC39" s="3">
        <v>-1.26</v>
      </c>
      <c r="AD39" s="8"/>
      <c r="AE39" s="3">
        <v>0</v>
      </c>
      <c r="AF39" s="8"/>
      <c r="AG39" s="3">
        <v>0.51400000000000001</v>
      </c>
      <c r="AH39" s="3">
        <v>1.774</v>
      </c>
      <c r="AI39" s="3">
        <v>-1.26</v>
      </c>
      <c r="AJ39" s="3">
        <v>0.63280000000000003</v>
      </c>
      <c r="AK39" s="4">
        <v>301</v>
      </c>
    </row>
    <row r="40" spans="1:37" x14ac:dyDescent="0.25">
      <c r="A40" s="12" t="s">
        <v>61</v>
      </c>
      <c r="B40" s="12" t="s">
        <v>73</v>
      </c>
      <c r="C40" s="5" t="s">
        <v>42</v>
      </c>
      <c r="D40" s="5"/>
      <c r="E40" s="6">
        <v>0.16500000000000001</v>
      </c>
      <c r="F40" s="6">
        <v>0</v>
      </c>
      <c r="G40" s="6">
        <v>0</v>
      </c>
      <c r="H40" s="6">
        <v>0</v>
      </c>
      <c r="I40" s="7">
        <v>0</v>
      </c>
      <c r="J40" s="6">
        <v>-1</v>
      </c>
      <c r="K40" s="7">
        <v>9</v>
      </c>
      <c r="L40" s="7">
        <v>0</v>
      </c>
      <c r="M40" s="7">
        <v>457</v>
      </c>
      <c r="N40" s="7">
        <v>2764</v>
      </c>
      <c r="O40" s="6">
        <v>-0.83499999999999996</v>
      </c>
      <c r="P40" s="7">
        <v>0</v>
      </c>
      <c r="Q40" s="6">
        <v>-1</v>
      </c>
      <c r="R40" s="5"/>
      <c r="S40" s="5"/>
      <c r="T40" s="7">
        <v>820</v>
      </c>
      <c r="U40" s="6">
        <v>-0.312</v>
      </c>
      <c r="V40" s="6">
        <v>0</v>
      </c>
      <c r="W40" s="6">
        <v>0</v>
      </c>
      <c r="X40" s="6">
        <v>0.33900000000000002</v>
      </c>
      <c r="Y40" s="6">
        <v>1.599</v>
      </c>
      <c r="Z40" s="6">
        <v>-1.26</v>
      </c>
      <c r="AA40" s="6">
        <v>0.33900000000000002</v>
      </c>
      <c r="AB40" s="6">
        <v>1.599</v>
      </c>
      <c r="AC40" s="6">
        <v>-1.26</v>
      </c>
      <c r="AD40" s="5"/>
      <c r="AE40" s="6">
        <v>0</v>
      </c>
      <c r="AF40" s="5"/>
      <c r="AG40" s="6">
        <v>0.51400000000000001</v>
      </c>
      <c r="AH40" s="6">
        <v>1.774</v>
      </c>
      <c r="AI40" s="6">
        <v>-1.26</v>
      </c>
      <c r="AJ40" s="6">
        <v>0.63280000000000003</v>
      </c>
      <c r="AK40" s="7">
        <v>301</v>
      </c>
    </row>
    <row r="41" spans="1:37" x14ac:dyDescent="0.25">
      <c r="A41" s="12" t="s">
        <v>61</v>
      </c>
      <c r="B41" s="5" t="s">
        <v>42</v>
      </c>
      <c r="C41" s="5"/>
      <c r="D41" s="5"/>
      <c r="E41" s="6">
        <v>0.77600000000000002</v>
      </c>
      <c r="F41" s="6">
        <v>1.6E-2</v>
      </c>
      <c r="G41" s="6">
        <v>0.39500000000000002</v>
      </c>
      <c r="H41" s="6">
        <v>0.39400000000000002</v>
      </c>
      <c r="I41" s="7">
        <v>15</v>
      </c>
      <c r="J41" s="6">
        <v>-0.25</v>
      </c>
      <c r="K41" s="7">
        <v>375</v>
      </c>
      <c r="L41" s="7">
        <v>9</v>
      </c>
      <c r="M41" s="7">
        <v>25541</v>
      </c>
      <c r="N41" s="7">
        <v>21812</v>
      </c>
      <c r="O41" s="6">
        <v>0.17100000000000001</v>
      </c>
      <c r="P41" s="7">
        <v>8620</v>
      </c>
      <c r="Q41" s="6">
        <v>-7.5999999999999998E-2</v>
      </c>
      <c r="R41" s="7">
        <v>574.66999999999996</v>
      </c>
      <c r="S41" s="6">
        <v>0.121</v>
      </c>
      <c r="T41" s="7">
        <v>31817</v>
      </c>
      <c r="U41" s="6">
        <v>-6.8000000000000005E-2</v>
      </c>
      <c r="V41" s="6">
        <v>0.01</v>
      </c>
      <c r="W41" s="6">
        <v>0.67200000000000004</v>
      </c>
      <c r="X41" s="6">
        <v>0.86899999999999999</v>
      </c>
      <c r="Y41" s="6">
        <v>0.51</v>
      </c>
      <c r="Z41" s="6">
        <v>0.36</v>
      </c>
      <c r="AA41" s="6">
        <v>0.86899999999999999</v>
      </c>
      <c r="AB41" s="6">
        <v>0.50800000000000001</v>
      </c>
      <c r="AC41" s="6">
        <v>0.36099999999999999</v>
      </c>
      <c r="AD41" s="6">
        <v>0.60099999999999998</v>
      </c>
      <c r="AE41" s="6">
        <v>0.63100000000000001</v>
      </c>
      <c r="AF41" s="6">
        <v>-0.03</v>
      </c>
      <c r="AG41" s="6">
        <v>1.0529999999999999</v>
      </c>
      <c r="AH41" s="6">
        <v>0.68799999999999994</v>
      </c>
      <c r="AI41" s="6">
        <v>0.36499999999999999</v>
      </c>
      <c r="AJ41" s="6">
        <v>1.1938</v>
      </c>
      <c r="AK41" s="7">
        <v>-6165</v>
      </c>
    </row>
    <row r="42" spans="1:37" x14ac:dyDescent="0.25">
      <c r="A42" s="2" t="s">
        <v>75</v>
      </c>
      <c r="B42" s="2" t="s">
        <v>75</v>
      </c>
      <c r="C42" s="2" t="s">
        <v>75</v>
      </c>
      <c r="D42" s="2" t="s">
        <v>75</v>
      </c>
      <c r="E42" s="6">
        <v>0.98199999999999998</v>
      </c>
      <c r="F42" s="6">
        <v>2.1000000000000001E-2</v>
      </c>
      <c r="G42" s="6">
        <v>9.2999999999999999E-2</v>
      </c>
      <c r="H42" s="6">
        <v>7.8E-2</v>
      </c>
      <c r="I42" s="7">
        <v>98</v>
      </c>
      <c r="J42" s="6">
        <v>3.2000000000000001E-2</v>
      </c>
      <c r="K42" s="7">
        <v>3990</v>
      </c>
      <c r="L42" s="7">
        <v>13</v>
      </c>
      <c r="M42" s="7">
        <v>361369</v>
      </c>
      <c r="N42" s="7">
        <v>336108</v>
      </c>
      <c r="O42" s="6">
        <v>7.4999999999999997E-2</v>
      </c>
      <c r="P42" s="7">
        <v>31280</v>
      </c>
      <c r="Q42" s="6">
        <v>3.4000000000000002E-2</v>
      </c>
      <c r="R42" s="7">
        <v>322.10000000000002</v>
      </c>
      <c r="S42" s="6">
        <v>-4.8000000000000001E-2</v>
      </c>
      <c r="T42" s="7">
        <v>215485</v>
      </c>
      <c r="U42" s="6">
        <v>6.0000000000000001E-3</v>
      </c>
      <c r="V42" s="6">
        <v>7.0000000000000001E-3</v>
      </c>
      <c r="W42" s="6">
        <v>0.67900000000000005</v>
      </c>
      <c r="X42" s="6">
        <v>0.75600000000000001</v>
      </c>
      <c r="Y42" s="6">
        <v>0.55100000000000005</v>
      </c>
      <c r="Z42" s="6">
        <v>0.20599999999999999</v>
      </c>
      <c r="AA42" s="6">
        <v>0.75600000000000001</v>
      </c>
      <c r="AB42" s="6">
        <v>0.54700000000000004</v>
      </c>
      <c r="AC42" s="6">
        <v>0.21</v>
      </c>
      <c r="AD42" s="6">
        <v>0.70799999999999996</v>
      </c>
      <c r="AE42" s="6">
        <v>0.29499999999999998</v>
      </c>
      <c r="AF42" s="6">
        <v>0.41299999999999998</v>
      </c>
      <c r="AG42" s="6">
        <v>0.878</v>
      </c>
      <c r="AH42" s="6">
        <v>0.67200000000000004</v>
      </c>
      <c r="AI42" s="6">
        <v>0.20599999999999999</v>
      </c>
      <c r="AJ42" s="6">
        <v>1.0469999999999999</v>
      </c>
      <c r="AK42" s="7">
        <v>-10126</v>
      </c>
    </row>
    <row r="44" spans="1:37" x14ac:dyDescent="0.25">
      <c r="A44" t="s">
        <v>76</v>
      </c>
      <c r="B44" t="s">
        <v>76</v>
      </c>
      <c r="C44" t="s">
        <v>76</v>
      </c>
    </row>
    <row r="45" spans="1:37" x14ac:dyDescent="0.25">
      <c r="A45" s="9" t="s">
        <v>89</v>
      </c>
      <c r="B45" s="9" t="s">
        <v>88</v>
      </c>
    </row>
  </sheetData>
  <mergeCells count="18">
    <mergeCell ref="B30:B31"/>
    <mergeCell ref="B32:B33"/>
    <mergeCell ref="B39:B40"/>
    <mergeCell ref="C19:C20"/>
    <mergeCell ref="A4:AK4"/>
    <mergeCell ref="A5:AK5"/>
    <mergeCell ref="A7:A25"/>
    <mergeCell ref="A26:A41"/>
    <mergeCell ref="B7:B9"/>
    <mergeCell ref="B10:B11"/>
    <mergeCell ref="B12:B13"/>
    <mergeCell ref="B14:B15"/>
    <mergeCell ref="B34:B35"/>
    <mergeCell ref="B36:B38"/>
    <mergeCell ref="B16:B22"/>
    <mergeCell ref="B23:B24"/>
    <mergeCell ref="B26:B27"/>
    <mergeCell ref="B28:B29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E40-4C6B-422C-9E86-26030C3D3F92}">
  <dimension ref="A4:AM45"/>
  <sheetViews>
    <sheetView topLeftCell="C26" workbookViewId="0">
      <selection activeCell="L43" sqref="L43"/>
    </sheetView>
  </sheetViews>
  <sheetFormatPr baseColWidth="10" defaultRowHeight="15" x14ac:dyDescent="0.25"/>
  <sheetData>
    <row r="4" spans="1:39" ht="20.25" x14ac:dyDescent="0.25">
      <c r="A4" s="10" t="s">
        <v>93</v>
      </c>
      <c r="B4" s="10" t="s">
        <v>93</v>
      </c>
      <c r="C4" s="10" t="s">
        <v>93</v>
      </c>
      <c r="D4" s="10" t="s">
        <v>93</v>
      </c>
      <c r="E4" s="10" t="s">
        <v>93</v>
      </c>
      <c r="F4" s="10" t="s">
        <v>93</v>
      </c>
      <c r="G4" s="10" t="s">
        <v>93</v>
      </c>
      <c r="H4" s="10" t="s">
        <v>93</v>
      </c>
      <c r="I4" s="10" t="s">
        <v>93</v>
      </c>
      <c r="J4" s="10" t="s">
        <v>93</v>
      </c>
      <c r="K4" s="10" t="s">
        <v>93</v>
      </c>
      <c r="L4" s="10" t="s">
        <v>93</v>
      </c>
      <c r="M4" s="10" t="s">
        <v>93</v>
      </c>
      <c r="N4" s="10" t="s">
        <v>93</v>
      </c>
      <c r="O4" s="10"/>
      <c r="P4" s="10" t="s">
        <v>93</v>
      </c>
      <c r="Q4" s="10" t="s">
        <v>93</v>
      </c>
      <c r="R4" s="10" t="s">
        <v>93</v>
      </c>
      <c r="S4" s="10" t="s">
        <v>93</v>
      </c>
      <c r="T4" s="10" t="s">
        <v>93</v>
      </c>
      <c r="U4" s="10" t="s">
        <v>93</v>
      </c>
      <c r="V4" s="10" t="s">
        <v>93</v>
      </c>
      <c r="W4" s="10" t="s">
        <v>93</v>
      </c>
      <c r="X4" s="10" t="s">
        <v>93</v>
      </c>
      <c r="Y4" s="10" t="s">
        <v>93</v>
      </c>
      <c r="Z4" s="10" t="s">
        <v>93</v>
      </c>
      <c r="AA4" s="10" t="s">
        <v>93</v>
      </c>
      <c r="AB4" s="10" t="s">
        <v>93</v>
      </c>
      <c r="AC4" s="10" t="s">
        <v>93</v>
      </c>
      <c r="AD4" s="10" t="s">
        <v>93</v>
      </c>
      <c r="AE4" s="10" t="s">
        <v>93</v>
      </c>
      <c r="AF4" s="10" t="s">
        <v>93</v>
      </c>
      <c r="AG4" s="10" t="s">
        <v>93</v>
      </c>
      <c r="AH4" s="10" t="s">
        <v>93</v>
      </c>
      <c r="AI4" s="10" t="s">
        <v>93</v>
      </c>
      <c r="AJ4" s="10" t="s">
        <v>93</v>
      </c>
      <c r="AK4" s="10" t="s">
        <v>93</v>
      </c>
      <c r="AL4" s="10" t="s">
        <v>93</v>
      </c>
      <c r="AM4" s="10" t="s">
        <v>93</v>
      </c>
    </row>
    <row r="5" spans="1:39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/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  <c r="AM5" s="11" t="s">
        <v>1</v>
      </c>
    </row>
    <row r="6" spans="1:39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92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27</v>
      </c>
      <c r="AF6" s="1" t="s">
        <v>30</v>
      </c>
      <c r="AG6" s="1" t="s">
        <v>31</v>
      </c>
      <c r="AH6" s="1" t="s">
        <v>27</v>
      </c>
      <c r="AI6" s="1" t="s">
        <v>32</v>
      </c>
      <c r="AJ6" s="1" t="s">
        <v>33</v>
      </c>
      <c r="AK6" s="1" t="s">
        <v>34</v>
      </c>
      <c r="AL6" s="1" t="s">
        <v>35</v>
      </c>
      <c r="AM6" s="1" t="s">
        <v>36</v>
      </c>
    </row>
    <row r="7" spans="1:39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1.081</v>
      </c>
      <c r="F7" s="3">
        <v>0</v>
      </c>
      <c r="G7" s="3">
        <v>6.5000000000000002E-2</v>
      </c>
      <c r="H7" s="3">
        <v>0</v>
      </c>
      <c r="I7" s="4">
        <v>1</v>
      </c>
      <c r="J7" s="8"/>
      <c r="K7" s="4">
        <v>23</v>
      </c>
      <c r="L7" s="4">
        <v>1</v>
      </c>
      <c r="M7" s="4">
        <v>1185</v>
      </c>
      <c r="N7" s="4">
        <v>1034</v>
      </c>
      <c r="O7" s="4">
        <f t="shared" ref="O7:O42" si="0">M7-N7</f>
        <v>151</v>
      </c>
      <c r="P7" s="3">
        <v>0.14599999999999999</v>
      </c>
      <c r="Q7" s="4">
        <v>67</v>
      </c>
      <c r="R7" s="4">
        <v>0</v>
      </c>
      <c r="S7" s="8"/>
      <c r="T7" s="4">
        <v>66.77</v>
      </c>
      <c r="U7" s="8"/>
      <c r="V7" s="4">
        <v>935</v>
      </c>
      <c r="W7" s="3">
        <v>-6.4000000000000001E-2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8"/>
      <c r="AG7" s="8"/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4">
        <v>0</v>
      </c>
    </row>
    <row r="8" spans="1:39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0.92500000000000004</v>
      </c>
      <c r="F8" s="3">
        <v>0.02</v>
      </c>
      <c r="G8" s="3">
        <v>0</v>
      </c>
      <c r="H8" s="3">
        <v>0</v>
      </c>
      <c r="I8" s="4">
        <v>0</v>
      </c>
      <c r="J8" s="8"/>
      <c r="K8" s="4">
        <v>48</v>
      </c>
      <c r="L8" s="4">
        <v>-1</v>
      </c>
      <c r="M8" s="4">
        <v>1833</v>
      </c>
      <c r="N8" s="4">
        <v>1982</v>
      </c>
      <c r="O8" s="4">
        <f t="shared" si="0"/>
        <v>-149</v>
      </c>
      <c r="P8" s="3">
        <v>-7.4999999999999997E-2</v>
      </c>
      <c r="Q8" s="4">
        <v>0</v>
      </c>
      <c r="R8" s="4">
        <v>0</v>
      </c>
      <c r="S8" s="8"/>
      <c r="T8" s="8"/>
      <c r="U8" s="8"/>
      <c r="V8" s="4">
        <v>2147</v>
      </c>
      <c r="W8" s="3">
        <v>0.13600000000000001</v>
      </c>
      <c r="X8" s="3">
        <v>4.0000000000000001E-3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8"/>
      <c r="AG8" s="8"/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4">
        <v>0</v>
      </c>
    </row>
    <row r="9" spans="1:39" x14ac:dyDescent="0.25">
      <c r="A9" s="12" t="s">
        <v>37</v>
      </c>
      <c r="B9" s="12" t="s">
        <v>38</v>
      </c>
      <c r="C9" s="5" t="s">
        <v>42</v>
      </c>
      <c r="D9" s="5"/>
      <c r="E9" s="6">
        <v>0.97799999999999998</v>
      </c>
      <c r="F9" s="6">
        <v>1.4E-2</v>
      </c>
      <c r="G9" s="6">
        <v>2.1999999999999999E-2</v>
      </c>
      <c r="H9" s="6">
        <v>0</v>
      </c>
      <c r="I9" s="7">
        <v>1</v>
      </c>
      <c r="J9" s="5"/>
      <c r="K9" s="7">
        <v>71</v>
      </c>
      <c r="L9" s="7">
        <v>0</v>
      </c>
      <c r="M9" s="7">
        <v>3018</v>
      </c>
      <c r="N9" s="7">
        <v>3016</v>
      </c>
      <c r="O9" s="4">
        <f t="shared" si="0"/>
        <v>2</v>
      </c>
      <c r="P9" s="6">
        <v>1E-3</v>
      </c>
      <c r="Q9" s="7">
        <v>67</v>
      </c>
      <c r="R9" s="7">
        <v>0</v>
      </c>
      <c r="S9" s="5"/>
      <c r="T9" s="7">
        <v>66.77</v>
      </c>
      <c r="U9" s="5"/>
      <c r="V9" s="7">
        <v>3081</v>
      </c>
      <c r="W9" s="6">
        <v>6.7000000000000004E-2</v>
      </c>
      <c r="X9" s="6">
        <v>3.0000000000000001E-3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5"/>
      <c r="AG9" s="5"/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7">
        <v>0</v>
      </c>
    </row>
    <row r="10" spans="1:39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0.97299999999999998</v>
      </c>
      <c r="F10" s="3">
        <v>3.5999999999999997E-2</v>
      </c>
      <c r="G10" s="3">
        <v>8.5999999999999993E-2</v>
      </c>
      <c r="H10" s="3">
        <v>5.8000000000000003E-2</v>
      </c>
      <c r="I10" s="4">
        <v>111</v>
      </c>
      <c r="J10" s="3">
        <v>0.23300000000000001</v>
      </c>
      <c r="K10" s="4">
        <v>2535</v>
      </c>
      <c r="L10" s="4">
        <v>20</v>
      </c>
      <c r="M10" s="4">
        <v>345404</v>
      </c>
      <c r="N10" s="4">
        <v>326067</v>
      </c>
      <c r="O10" s="4">
        <f t="shared" si="0"/>
        <v>19337</v>
      </c>
      <c r="P10" s="3">
        <v>5.8999999999999997E-2</v>
      </c>
      <c r="Q10" s="4">
        <v>28042</v>
      </c>
      <c r="R10" s="4">
        <v>27141</v>
      </c>
      <c r="S10" s="3">
        <v>3.3000000000000002E-2</v>
      </c>
      <c r="T10" s="4">
        <v>261.85000000000002</v>
      </c>
      <c r="U10" s="3">
        <v>-0.188</v>
      </c>
      <c r="V10" s="4">
        <v>223603</v>
      </c>
      <c r="W10" s="3">
        <v>2.1000000000000001E-2</v>
      </c>
      <c r="X10" s="3">
        <v>5.0000000000000001E-3</v>
      </c>
      <c r="Y10" s="3">
        <v>0.79900000000000004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8"/>
      <c r="AG10" s="8"/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4">
        <v>0</v>
      </c>
    </row>
    <row r="11" spans="1:39" x14ac:dyDescent="0.25">
      <c r="A11" s="12" t="s">
        <v>37</v>
      </c>
      <c r="B11" s="12" t="s">
        <v>43</v>
      </c>
      <c r="C11" s="5" t="s">
        <v>42</v>
      </c>
      <c r="D11" s="5"/>
      <c r="E11" s="6">
        <v>0.97299999999999998</v>
      </c>
      <c r="F11" s="6">
        <v>3.5999999999999997E-2</v>
      </c>
      <c r="G11" s="6">
        <v>8.5999999999999993E-2</v>
      </c>
      <c r="H11" s="6">
        <v>5.8000000000000003E-2</v>
      </c>
      <c r="I11" s="7">
        <v>111</v>
      </c>
      <c r="J11" s="6">
        <v>0.23300000000000001</v>
      </c>
      <c r="K11" s="7">
        <v>2535</v>
      </c>
      <c r="L11" s="7">
        <v>20</v>
      </c>
      <c r="M11" s="7">
        <v>345404</v>
      </c>
      <c r="N11" s="7">
        <v>326067</v>
      </c>
      <c r="O11" s="4">
        <f t="shared" si="0"/>
        <v>19337</v>
      </c>
      <c r="P11" s="6">
        <v>5.8999999999999997E-2</v>
      </c>
      <c r="Q11" s="7">
        <v>28042</v>
      </c>
      <c r="R11" s="7">
        <v>27141</v>
      </c>
      <c r="S11" s="6">
        <v>3.3000000000000002E-2</v>
      </c>
      <c r="T11" s="7">
        <v>261.85000000000002</v>
      </c>
      <c r="U11" s="6">
        <v>-0.188</v>
      </c>
      <c r="V11" s="7">
        <v>223603</v>
      </c>
      <c r="W11" s="6">
        <v>2.1000000000000001E-2</v>
      </c>
      <c r="X11" s="6">
        <v>5.0000000000000001E-3</v>
      </c>
      <c r="Y11" s="6">
        <v>0.79900000000000004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5"/>
      <c r="AG11" s="5"/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7">
        <v>0</v>
      </c>
    </row>
    <row r="12" spans="1:39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0.93799999999999994</v>
      </c>
      <c r="F12" s="3">
        <v>2.3E-2</v>
      </c>
      <c r="G12" s="3">
        <v>0.105</v>
      </c>
      <c r="H12" s="3">
        <v>5.8999999999999997E-2</v>
      </c>
      <c r="I12" s="4">
        <v>23</v>
      </c>
      <c r="J12" s="3">
        <v>-0.08</v>
      </c>
      <c r="K12" s="4">
        <v>758</v>
      </c>
      <c r="L12" s="4">
        <v>6</v>
      </c>
      <c r="M12" s="4">
        <v>41017</v>
      </c>
      <c r="N12" s="4">
        <v>39360</v>
      </c>
      <c r="O12" s="4">
        <f t="shared" si="0"/>
        <v>1657</v>
      </c>
      <c r="P12" s="3">
        <v>4.2000000000000003E-2</v>
      </c>
      <c r="Q12" s="4">
        <v>4116</v>
      </c>
      <c r="R12" s="4">
        <v>5273</v>
      </c>
      <c r="S12" s="3">
        <v>-0.219</v>
      </c>
      <c r="T12" s="4">
        <v>178.97</v>
      </c>
      <c r="U12" s="3">
        <v>-0.151</v>
      </c>
      <c r="V12" s="4">
        <v>39003</v>
      </c>
      <c r="W12" s="3">
        <v>4.1000000000000002E-2</v>
      </c>
      <c r="X12" s="3">
        <v>8.0000000000000002E-3</v>
      </c>
      <c r="Y12" s="3">
        <v>0.436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8"/>
      <c r="AG12" s="8"/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4">
        <v>0</v>
      </c>
    </row>
    <row r="13" spans="1:39" x14ac:dyDescent="0.25">
      <c r="A13" s="12" t="s">
        <v>37</v>
      </c>
      <c r="B13" s="12" t="s">
        <v>45</v>
      </c>
      <c r="C13" s="5" t="s">
        <v>42</v>
      </c>
      <c r="D13" s="5"/>
      <c r="E13" s="6">
        <v>0.93799999999999994</v>
      </c>
      <c r="F13" s="6">
        <v>2.3E-2</v>
      </c>
      <c r="G13" s="6">
        <v>0.105</v>
      </c>
      <c r="H13" s="6">
        <v>5.8999999999999997E-2</v>
      </c>
      <c r="I13" s="7">
        <v>23</v>
      </c>
      <c r="J13" s="6">
        <v>-0.08</v>
      </c>
      <c r="K13" s="7">
        <v>758</v>
      </c>
      <c r="L13" s="7">
        <v>6</v>
      </c>
      <c r="M13" s="7">
        <v>41017</v>
      </c>
      <c r="N13" s="7">
        <v>39360</v>
      </c>
      <c r="O13" s="4">
        <f t="shared" si="0"/>
        <v>1657</v>
      </c>
      <c r="P13" s="6">
        <v>4.2000000000000003E-2</v>
      </c>
      <c r="Q13" s="7">
        <v>4116</v>
      </c>
      <c r="R13" s="7">
        <v>5273</v>
      </c>
      <c r="S13" s="6">
        <v>-0.219</v>
      </c>
      <c r="T13" s="7">
        <v>178.97</v>
      </c>
      <c r="U13" s="6">
        <v>-0.151</v>
      </c>
      <c r="V13" s="7">
        <v>39003</v>
      </c>
      <c r="W13" s="6">
        <v>4.1000000000000002E-2</v>
      </c>
      <c r="X13" s="6">
        <v>8.0000000000000002E-3</v>
      </c>
      <c r="Y13" s="6">
        <v>0.436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5"/>
      <c r="AG13" s="5"/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0</v>
      </c>
    </row>
    <row r="14" spans="1:39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0.97899999999999998</v>
      </c>
      <c r="F14" s="3">
        <v>0</v>
      </c>
      <c r="G14" s="3">
        <v>0</v>
      </c>
      <c r="H14" s="3">
        <v>0</v>
      </c>
      <c r="I14" s="4">
        <v>0</v>
      </c>
      <c r="J14" s="3">
        <v>-1</v>
      </c>
      <c r="K14" s="4">
        <v>24</v>
      </c>
      <c r="L14" s="4">
        <v>0</v>
      </c>
      <c r="M14" s="4">
        <v>4393</v>
      </c>
      <c r="N14" s="4">
        <v>4489</v>
      </c>
      <c r="O14" s="4">
        <f t="shared" si="0"/>
        <v>-96</v>
      </c>
      <c r="P14" s="3">
        <v>-2.1000000000000001E-2</v>
      </c>
      <c r="Q14" s="4">
        <v>0</v>
      </c>
      <c r="R14" s="4">
        <v>1003</v>
      </c>
      <c r="S14" s="3">
        <v>-1</v>
      </c>
      <c r="T14" s="8"/>
      <c r="U14" s="8"/>
      <c r="V14" s="4">
        <v>4184</v>
      </c>
      <c r="W14" s="3">
        <v>1.6E-2</v>
      </c>
      <c r="X14" s="3">
        <v>4.2000000000000003E-2</v>
      </c>
      <c r="Y14" s="3">
        <v>0.32200000000000001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8"/>
      <c r="AG14" s="8"/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4">
        <v>0</v>
      </c>
    </row>
    <row r="15" spans="1:39" x14ac:dyDescent="0.25">
      <c r="A15" s="12" t="s">
        <v>37</v>
      </c>
      <c r="B15" s="12" t="s">
        <v>46</v>
      </c>
      <c r="C15" s="5" t="s">
        <v>42</v>
      </c>
      <c r="D15" s="5"/>
      <c r="E15" s="6">
        <v>0.97899999999999998</v>
      </c>
      <c r="F15" s="6">
        <v>0</v>
      </c>
      <c r="G15" s="6">
        <v>0</v>
      </c>
      <c r="H15" s="6">
        <v>0</v>
      </c>
      <c r="I15" s="7">
        <v>0</v>
      </c>
      <c r="J15" s="6">
        <v>-1</v>
      </c>
      <c r="K15" s="7">
        <v>24</v>
      </c>
      <c r="L15" s="7">
        <v>0</v>
      </c>
      <c r="M15" s="7">
        <v>4393</v>
      </c>
      <c r="N15" s="7">
        <v>4489</v>
      </c>
      <c r="O15" s="4">
        <f t="shared" si="0"/>
        <v>-96</v>
      </c>
      <c r="P15" s="6">
        <v>-2.1000000000000001E-2</v>
      </c>
      <c r="Q15" s="7">
        <v>0</v>
      </c>
      <c r="R15" s="7">
        <v>1003</v>
      </c>
      <c r="S15" s="6">
        <v>-1</v>
      </c>
      <c r="T15" s="5"/>
      <c r="U15" s="5"/>
      <c r="V15" s="7">
        <v>4184</v>
      </c>
      <c r="W15" s="6">
        <v>1.6E-2</v>
      </c>
      <c r="X15" s="6">
        <v>4.2000000000000003E-2</v>
      </c>
      <c r="Y15" s="6">
        <v>0.32200000000000001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5"/>
      <c r="AG15" s="5"/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0</v>
      </c>
    </row>
    <row r="16" spans="1:39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2</v>
      </c>
      <c r="G16" s="3">
        <v>0.30599999999999999</v>
      </c>
      <c r="H16" s="3">
        <v>0.126</v>
      </c>
      <c r="I16" s="4">
        <v>2</v>
      </c>
      <c r="J16" s="3">
        <v>-0.33300000000000002</v>
      </c>
      <c r="K16" s="4">
        <v>1</v>
      </c>
      <c r="L16" s="4">
        <v>0</v>
      </c>
      <c r="M16" s="4">
        <v>243</v>
      </c>
      <c r="N16" s="4">
        <v>794</v>
      </c>
      <c r="O16" s="4">
        <f t="shared" si="0"/>
        <v>-551</v>
      </c>
      <c r="P16" s="3">
        <v>-0.69399999999999995</v>
      </c>
      <c r="Q16" s="4">
        <v>243</v>
      </c>
      <c r="R16" s="4">
        <v>794</v>
      </c>
      <c r="S16" s="3">
        <v>-0.69399999999999995</v>
      </c>
      <c r="T16" s="4">
        <v>1362.97</v>
      </c>
      <c r="U16" s="3">
        <v>-0.67600000000000005</v>
      </c>
      <c r="V16" s="4">
        <v>369</v>
      </c>
      <c r="W16" s="3">
        <v>0.76500000000000001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8"/>
      <c r="AG16" s="8"/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4">
        <v>0</v>
      </c>
    </row>
    <row r="17" spans="1:39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</v>
      </c>
      <c r="F17" s="3">
        <v>0.125</v>
      </c>
      <c r="G17" s="3">
        <v>0</v>
      </c>
      <c r="H17" s="3">
        <v>0</v>
      </c>
      <c r="I17" s="4">
        <v>0</v>
      </c>
      <c r="J17" s="8"/>
      <c r="K17" s="4">
        <v>7</v>
      </c>
      <c r="L17" s="4">
        <v>-1</v>
      </c>
      <c r="M17" s="4">
        <v>-104</v>
      </c>
      <c r="N17" s="4">
        <v>0</v>
      </c>
      <c r="O17" s="4">
        <f t="shared" si="0"/>
        <v>-104</v>
      </c>
      <c r="P17" s="8"/>
      <c r="Q17" s="4">
        <v>0</v>
      </c>
      <c r="R17" s="4">
        <v>0</v>
      </c>
      <c r="S17" s="8"/>
      <c r="T17" s="8"/>
      <c r="U17" s="8"/>
      <c r="V17" s="4">
        <v>256</v>
      </c>
      <c r="W17" s="3">
        <v>2.1000000000000001E-2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8"/>
      <c r="AG17" s="8"/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4">
        <v>0</v>
      </c>
    </row>
    <row r="18" spans="1:39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1.05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5</v>
      </c>
      <c r="L18" s="4">
        <v>0</v>
      </c>
      <c r="M18" s="4">
        <v>68</v>
      </c>
      <c r="N18" s="4">
        <v>65</v>
      </c>
      <c r="O18" s="4">
        <f t="shared" si="0"/>
        <v>3</v>
      </c>
      <c r="P18" s="3">
        <v>0.05</v>
      </c>
      <c r="Q18" s="4">
        <v>0</v>
      </c>
      <c r="R18" s="4">
        <v>0</v>
      </c>
      <c r="S18" s="8"/>
      <c r="T18" s="8"/>
      <c r="U18" s="8"/>
      <c r="V18" s="4">
        <v>91</v>
      </c>
      <c r="W18" s="3">
        <v>-4.2000000000000003E-2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8"/>
      <c r="AG18" s="8"/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4">
        <v>0</v>
      </c>
    </row>
    <row r="19" spans="1:39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0.877</v>
      </c>
      <c r="F19" s="3">
        <v>1.7999999999999999E-2</v>
      </c>
      <c r="G19" s="3">
        <v>0.23200000000000001</v>
      </c>
      <c r="H19" s="3">
        <v>0.23200000000000001</v>
      </c>
      <c r="I19" s="4">
        <v>1</v>
      </c>
      <c r="J19" s="3">
        <v>-0.5</v>
      </c>
      <c r="K19" s="4">
        <v>109</v>
      </c>
      <c r="L19" s="4">
        <v>-1</v>
      </c>
      <c r="M19" s="4">
        <v>72</v>
      </c>
      <c r="N19" s="4">
        <v>65</v>
      </c>
      <c r="O19" s="4">
        <f t="shared" si="0"/>
        <v>7</v>
      </c>
      <c r="P19" s="3">
        <v>0.109</v>
      </c>
      <c r="Q19" s="4">
        <v>15</v>
      </c>
      <c r="R19" s="4">
        <v>30</v>
      </c>
      <c r="S19" s="3">
        <v>-0.496</v>
      </c>
      <c r="T19" s="4">
        <v>15.07</v>
      </c>
      <c r="U19" s="3">
        <v>8.0000000000000002E-3</v>
      </c>
      <c r="V19" s="4">
        <v>511</v>
      </c>
      <c r="W19" s="3">
        <v>-3.1E-2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8"/>
      <c r="AG19" s="8"/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4">
        <v>0</v>
      </c>
    </row>
    <row r="20" spans="1:39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0.497</v>
      </c>
      <c r="F20" s="3">
        <v>5.6000000000000001E-2</v>
      </c>
      <c r="G20" s="3">
        <v>1.421</v>
      </c>
      <c r="H20" s="3">
        <v>1.3420000000000001</v>
      </c>
      <c r="I20" s="4">
        <v>3</v>
      </c>
      <c r="J20" s="3">
        <v>0.5</v>
      </c>
      <c r="K20" s="4">
        <v>37</v>
      </c>
      <c r="L20" s="4">
        <v>1</v>
      </c>
      <c r="M20" s="4">
        <v>557</v>
      </c>
      <c r="N20" s="4">
        <v>291</v>
      </c>
      <c r="O20" s="4">
        <f t="shared" si="0"/>
        <v>266</v>
      </c>
      <c r="P20" s="3">
        <v>0.91800000000000004</v>
      </c>
      <c r="Q20" s="4">
        <v>413</v>
      </c>
      <c r="R20" s="4">
        <v>139</v>
      </c>
      <c r="S20" s="3">
        <v>1.9810000000000001</v>
      </c>
      <c r="T20" s="4">
        <v>137.63999999999999</v>
      </c>
      <c r="U20" s="3">
        <v>0.17599999999999999</v>
      </c>
      <c r="V20" s="4">
        <v>1835</v>
      </c>
      <c r="W20" s="3">
        <v>0.27600000000000002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8"/>
      <c r="AG20" s="8"/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4">
        <v>0</v>
      </c>
    </row>
    <row r="21" spans="1:39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1.024</v>
      </c>
      <c r="F21" s="3">
        <v>0</v>
      </c>
      <c r="G21" s="3">
        <v>0</v>
      </c>
      <c r="H21" s="3">
        <v>0</v>
      </c>
      <c r="I21" s="4">
        <v>0</v>
      </c>
      <c r="J21" s="8"/>
      <c r="K21" s="4">
        <v>30</v>
      </c>
      <c r="L21" s="4">
        <v>0</v>
      </c>
      <c r="M21" s="4">
        <v>874</v>
      </c>
      <c r="N21" s="4">
        <v>854</v>
      </c>
      <c r="O21" s="4">
        <f t="shared" si="0"/>
        <v>20</v>
      </c>
      <c r="P21" s="3">
        <v>2.4E-2</v>
      </c>
      <c r="Q21" s="4">
        <v>0</v>
      </c>
      <c r="R21" s="4">
        <v>0</v>
      </c>
      <c r="S21" s="8"/>
      <c r="T21" s="8"/>
      <c r="U21" s="8"/>
      <c r="V21" s="4">
        <v>828</v>
      </c>
      <c r="W21" s="3">
        <v>-7.2999999999999995E-2</v>
      </c>
      <c r="X21" s="3">
        <v>0.12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8"/>
      <c r="AG21" s="8"/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4">
        <v>0</v>
      </c>
    </row>
    <row r="22" spans="1:39" x14ac:dyDescent="0.25">
      <c r="A22" s="12" t="s">
        <v>37</v>
      </c>
      <c r="B22" s="12" t="s">
        <v>48</v>
      </c>
      <c r="C22" s="5" t="s">
        <v>42</v>
      </c>
      <c r="D22" s="5"/>
      <c r="E22" s="6">
        <v>0.503</v>
      </c>
      <c r="F22" s="6">
        <v>3.6999999999999998E-2</v>
      </c>
      <c r="G22" s="6">
        <v>0.32400000000000001</v>
      </c>
      <c r="H22" s="6">
        <v>0.24399999999999999</v>
      </c>
      <c r="I22" s="7">
        <v>6</v>
      </c>
      <c r="J22" s="6">
        <v>-0.14299999999999999</v>
      </c>
      <c r="K22" s="7">
        <v>189</v>
      </c>
      <c r="L22" s="7">
        <v>-1</v>
      </c>
      <c r="M22" s="7">
        <v>1710</v>
      </c>
      <c r="N22" s="7">
        <v>2069</v>
      </c>
      <c r="O22" s="4">
        <f t="shared" si="0"/>
        <v>-359</v>
      </c>
      <c r="P22" s="6">
        <v>-0.17299999999999999</v>
      </c>
      <c r="Q22" s="7">
        <v>671</v>
      </c>
      <c r="R22" s="7">
        <v>963</v>
      </c>
      <c r="S22" s="6">
        <v>-0.30299999999999999</v>
      </c>
      <c r="T22" s="7">
        <v>160.53</v>
      </c>
      <c r="U22" s="6">
        <v>-0.438</v>
      </c>
      <c r="V22" s="7">
        <v>3890</v>
      </c>
      <c r="W22" s="6">
        <v>0.14000000000000001</v>
      </c>
      <c r="X22" s="6">
        <v>2.5999999999999999E-2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5"/>
      <c r="AG22" s="5"/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7">
        <v>0</v>
      </c>
    </row>
    <row r="23" spans="1:39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0.94699999999999995</v>
      </c>
      <c r="F23" s="3">
        <v>5.0999999999999997E-2</v>
      </c>
      <c r="G23" s="3">
        <v>0.44700000000000001</v>
      </c>
      <c r="H23" s="3">
        <v>0.251</v>
      </c>
      <c r="I23" s="4">
        <v>7</v>
      </c>
      <c r="J23" s="3">
        <v>1.333</v>
      </c>
      <c r="K23" s="4">
        <v>63</v>
      </c>
      <c r="L23" s="4">
        <v>4</v>
      </c>
      <c r="M23" s="4">
        <v>8955</v>
      </c>
      <c r="N23" s="4">
        <v>6425</v>
      </c>
      <c r="O23" s="4">
        <f t="shared" si="0"/>
        <v>2530</v>
      </c>
      <c r="P23" s="3">
        <v>0.39400000000000002</v>
      </c>
      <c r="Q23" s="4">
        <v>2872</v>
      </c>
      <c r="R23" s="4">
        <v>1214</v>
      </c>
      <c r="S23" s="3">
        <v>1.365</v>
      </c>
      <c r="T23" s="4">
        <v>410.26</v>
      </c>
      <c r="U23" s="3">
        <v>1.2999999999999999E-2</v>
      </c>
      <c r="V23" s="4">
        <v>7853</v>
      </c>
      <c r="W23" s="3">
        <v>0.129</v>
      </c>
      <c r="X23" s="3">
        <v>1E-3</v>
      </c>
      <c r="Y23" s="3">
        <v>0.53100000000000003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8"/>
      <c r="AG23" s="8"/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4">
        <v>0</v>
      </c>
    </row>
    <row r="24" spans="1:39" x14ac:dyDescent="0.25">
      <c r="A24" s="12" t="s">
        <v>37</v>
      </c>
      <c r="B24" s="12" t="s">
        <v>59</v>
      </c>
      <c r="C24" s="5" t="s">
        <v>42</v>
      </c>
      <c r="D24" s="5"/>
      <c r="E24" s="6">
        <v>0.94699999999999995</v>
      </c>
      <c r="F24" s="6">
        <v>5.0999999999999997E-2</v>
      </c>
      <c r="G24" s="6">
        <v>0.44700000000000001</v>
      </c>
      <c r="H24" s="6">
        <v>0.251</v>
      </c>
      <c r="I24" s="7">
        <v>7</v>
      </c>
      <c r="J24" s="6">
        <v>1.333</v>
      </c>
      <c r="K24" s="7">
        <v>63</v>
      </c>
      <c r="L24" s="7">
        <v>4</v>
      </c>
      <c r="M24" s="7">
        <v>8955</v>
      </c>
      <c r="N24" s="7">
        <v>6425</v>
      </c>
      <c r="O24" s="4">
        <f t="shared" si="0"/>
        <v>2530</v>
      </c>
      <c r="P24" s="6">
        <v>0.39400000000000002</v>
      </c>
      <c r="Q24" s="7">
        <v>2872</v>
      </c>
      <c r="R24" s="7">
        <v>1214</v>
      </c>
      <c r="S24" s="6">
        <v>1.365</v>
      </c>
      <c r="T24" s="7">
        <v>410.26</v>
      </c>
      <c r="U24" s="6">
        <v>1.2999999999999999E-2</v>
      </c>
      <c r="V24" s="7">
        <v>7853</v>
      </c>
      <c r="W24" s="6">
        <v>0.129</v>
      </c>
      <c r="X24" s="6">
        <v>1E-3</v>
      </c>
      <c r="Y24" s="6">
        <v>0.53100000000000003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5"/>
      <c r="AG24" s="5"/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7">
        <v>0</v>
      </c>
    </row>
    <row r="25" spans="1:39" x14ac:dyDescent="0.25">
      <c r="A25" s="12" t="s">
        <v>37</v>
      </c>
      <c r="B25" s="5" t="s">
        <v>42</v>
      </c>
      <c r="C25" s="5"/>
      <c r="D25" s="5"/>
      <c r="E25" s="6">
        <v>0.96699999999999997</v>
      </c>
      <c r="F25" s="6">
        <v>3.3000000000000002E-2</v>
      </c>
      <c r="G25" s="6">
        <v>9.4E-2</v>
      </c>
      <c r="H25" s="6">
        <v>6.2E-2</v>
      </c>
      <c r="I25" s="7">
        <v>148</v>
      </c>
      <c r="J25" s="6">
        <v>0.17499999999999999</v>
      </c>
      <c r="K25" s="7">
        <v>3640</v>
      </c>
      <c r="L25" s="7">
        <v>29</v>
      </c>
      <c r="M25" s="7">
        <v>404497</v>
      </c>
      <c r="N25" s="7">
        <v>381424</v>
      </c>
      <c r="O25" s="4">
        <f t="shared" si="0"/>
        <v>23073</v>
      </c>
      <c r="P25" s="6">
        <v>0.06</v>
      </c>
      <c r="Q25" s="7">
        <v>35768</v>
      </c>
      <c r="R25" s="7">
        <v>35594</v>
      </c>
      <c r="S25" s="6">
        <v>5.0000000000000001E-3</v>
      </c>
      <c r="T25" s="7">
        <v>251.4</v>
      </c>
      <c r="U25" s="6">
        <v>-0.17699999999999999</v>
      </c>
      <c r="V25" s="7">
        <v>281616</v>
      </c>
      <c r="W25" s="6">
        <v>2.8000000000000001E-2</v>
      </c>
      <c r="X25" s="6">
        <v>6.0000000000000001E-3</v>
      </c>
      <c r="Y25" s="6">
        <v>0.71399999999999997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5"/>
      <c r="AG25" s="5"/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7">
        <v>0</v>
      </c>
    </row>
    <row r="26" spans="1:39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0.84699999999999998</v>
      </c>
      <c r="F26" s="3">
        <v>3.4000000000000002E-2</v>
      </c>
      <c r="G26" s="3">
        <v>1.4999999999999999E-2</v>
      </c>
      <c r="H26" s="3">
        <v>0</v>
      </c>
      <c r="I26" s="4">
        <v>1</v>
      </c>
      <c r="J26" s="3">
        <v>-0.83299999999999996</v>
      </c>
      <c r="K26" s="4">
        <v>85</v>
      </c>
      <c r="L26" s="4">
        <v>-2</v>
      </c>
      <c r="M26" s="4">
        <v>1918</v>
      </c>
      <c r="N26" s="4">
        <v>2223</v>
      </c>
      <c r="O26" s="4">
        <f t="shared" si="0"/>
        <v>-305</v>
      </c>
      <c r="P26" s="3">
        <v>-0.13700000000000001</v>
      </c>
      <c r="Q26" s="4">
        <v>34</v>
      </c>
      <c r="R26" s="4">
        <v>764</v>
      </c>
      <c r="S26" s="3">
        <v>-0.95599999999999996</v>
      </c>
      <c r="T26" s="4">
        <v>33.92</v>
      </c>
      <c r="U26" s="3">
        <v>-0.77</v>
      </c>
      <c r="V26" s="4">
        <v>1967</v>
      </c>
      <c r="W26" s="3">
        <v>-0.224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8"/>
      <c r="AG26" s="8"/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4">
        <v>0</v>
      </c>
    </row>
    <row r="27" spans="1:39" x14ac:dyDescent="0.25">
      <c r="A27" s="12" t="s">
        <v>61</v>
      </c>
      <c r="B27" s="12" t="s">
        <v>39</v>
      </c>
      <c r="C27" s="5" t="s">
        <v>42</v>
      </c>
      <c r="D27" s="5"/>
      <c r="E27" s="6">
        <v>0.84699999999999998</v>
      </c>
      <c r="F27" s="6">
        <v>3.4000000000000002E-2</v>
      </c>
      <c r="G27" s="6">
        <v>1.4999999999999999E-2</v>
      </c>
      <c r="H27" s="6">
        <v>0</v>
      </c>
      <c r="I27" s="7">
        <v>1</v>
      </c>
      <c r="J27" s="6">
        <v>-0.83299999999999996</v>
      </c>
      <c r="K27" s="7">
        <v>85</v>
      </c>
      <c r="L27" s="7">
        <v>-2</v>
      </c>
      <c r="M27" s="7">
        <v>1918</v>
      </c>
      <c r="N27" s="7">
        <v>2223</v>
      </c>
      <c r="O27" s="4">
        <f t="shared" si="0"/>
        <v>-305</v>
      </c>
      <c r="P27" s="6">
        <v>-0.13700000000000001</v>
      </c>
      <c r="Q27" s="7">
        <v>34</v>
      </c>
      <c r="R27" s="7">
        <v>764</v>
      </c>
      <c r="S27" s="6">
        <v>-0.95599999999999996</v>
      </c>
      <c r="T27" s="7">
        <v>33.92</v>
      </c>
      <c r="U27" s="6">
        <v>-0.77</v>
      </c>
      <c r="V27" s="7">
        <v>1967</v>
      </c>
      <c r="W27" s="6">
        <v>-0.224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5"/>
      <c r="AG27" s="5"/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7">
        <v>0</v>
      </c>
    </row>
    <row r="28" spans="1:39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0.109</v>
      </c>
      <c r="F28" s="3">
        <v>4.8000000000000001E-2</v>
      </c>
      <c r="G28" s="3">
        <v>1.611</v>
      </c>
      <c r="H28" s="3">
        <v>1.611</v>
      </c>
      <c r="I28" s="4">
        <v>11</v>
      </c>
      <c r="J28" s="3">
        <v>0.1</v>
      </c>
      <c r="K28" s="4">
        <v>70</v>
      </c>
      <c r="L28" s="4">
        <v>8</v>
      </c>
      <c r="M28" s="4">
        <v>6427</v>
      </c>
      <c r="N28" s="4">
        <v>3735</v>
      </c>
      <c r="O28" s="4">
        <f t="shared" si="0"/>
        <v>2692</v>
      </c>
      <c r="P28" s="3">
        <v>0.72</v>
      </c>
      <c r="Q28" s="4">
        <v>6019</v>
      </c>
      <c r="R28" s="4">
        <v>4535</v>
      </c>
      <c r="S28" s="3">
        <v>0.32700000000000001</v>
      </c>
      <c r="T28" s="4">
        <v>547.17999999999995</v>
      </c>
      <c r="U28" s="3">
        <v>0.20699999999999999</v>
      </c>
      <c r="V28" s="4">
        <v>6693</v>
      </c>
      <c r="W28" s="3">
        <v>-0.23799999999999999</v>
      </c>
      <c r="X28" s="3">
        <v>0</v>
      </c>
      <c r="Y28" s="3">
        <v>4.7E-2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8"/>
      <c r="AG28" s="8"/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4">
        <v>0</v>
      </c>
    </row>
    <row r="29" spans="1:39" x14ac:dyDescent="0.25">
      <c r="A29" s="12" t="s">
        <v>61</v>
      </c>
      <c r="B29" s="12" t="s">
        <v>43</v>
      </c>
      <c r="C29" s="5" t="s">
        <v>42</v>
      </c>
      <c r="D29" s="5"/>
      <c r="E29" s="6">
        <v>0.109</v>
      </c>
      <c r="F29" s="6">
        <v>4.8000000000000001E-2</v>
      </c>
      <c r="G29" s="6">
        <v>1.611</v>
      </c>
      <c r="H29" s="6">
        <v>1.611</v>
      </c>
      <c r="I29" s="7">
        <v>11</v>
      </c>
      <c r="J29" s="6">
        <v>0.1</v>
      </c>
      <c r="K29" s="7">
        <v>70</v>
      </c>
      <c r="L29" s="7">
        <v>8</v>
      </c>
      <c r="M29" s="7">
        <v>6427</v>
      </c>
      <c r="N29" s="7">
        <v>3735</v>
      </c>
      <c r="O29" s="4">
        <f t="shared" si="0"/>
        <v>2692</v>
      </c>
      <c r="P29" s="6">
        <v>0.72</v>
      </c>
      <c r="Q29" s="7">
        <v>6019</v>
      </c>
      <c r="R29" s="7">
        <v>4535</v>
      </c>
      <c r="S29" s="6">
        <v>0.32700000000000001</v>
      </c>
      <c r="T29" s="7">
        <v>547.17999999999995</v>
      </c>
      <c r="U29" s="6">
        <v>0.20699999999999999</v>
      </c>
      <c r="V29" s="7">
        <v>6693</v>
      </c>
      <c r="W29" s="6">
        <v>-0.23799999999999999</v>
      </c>
      <c r="X29" s="6">
        <v>0</v>
      </c>
      <c r="Y29" s="6">
        <v>4.7E-2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5"/>
      <c r="AG29" s="5"/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0</v>
      </c>
    </row>
    <row r="30" spans="1:39" x14ac:dyDescent="0.25">
      <c r="A30" s="12" t="s">
        <v>61</v>
      </c>
      <c r="B30" s="12" t="s">
        <v>64</v>
      </c>
      <c r="C30" s="2" t="s">
        <v>65</v>
      </c>
      <c r="D30" s="2" t="s">
        <v>65</v>
      </c>
      <c r="E30" s="3">
        <v>0.91500000000000004</v>
      </c>
      <c r="F30" s="3">
        <v>8.2000000000000003E-2</v>
      </c>
      <c r="G30" s="3">
        <v>0.218</v>
      </c>
      <c r="H30" s="3">
        <v>0.218</v>
      </c>
      <c r="I30" s="4">
        <v>2</v>
      </c>
      <c r="J30" s="3">
        <v>0</v>
      </c>
      <c r="K30" s="4">
        <v>47</v>
      </c>
      <c r="L30" s="4">
        <v>-2</v>
      </c>
      <c r="M30" s="4">
        <v>5389</v>
      </c>
      <c r="N30" s="4">
        <v>4757</v>
      </c>
      <c r="O30" s="4">
        <f t="shared" si="0"/>
        <v>632</v>
      </c>
      <c r="P30" s="3">
        <v>0.13300000000000001</v>
      </c>
      <c r="Q30" s="4">
        <v>1038</v>
      </c>
      <c r="R30" s="4">
        <v>1400</v>
      </c>
      <c r="S30" s="3">
        <v>-0.25900000000000001</v>
      </c>
      <c r="T30" s="4">
        <v>518.79999999999995</v>
      </c>
      <c r="U30" s="3">
        <v>-0.25900000000000001</v>
      </c>
      <c r="V30" s="4">
        <v>12849</v>
      </c>
      <c r="W30" s="3">
        <v>-7.0999999999999994E-2</v>
      </c>
      <c r="X30" s="3">
        <v>8.0000000000000002E-3</v>
      </c>
      <c r="Y30" s="3">
        <v>2.7090000000000001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8"/>
      <c r="AG30" s="8"/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4">
        <v>0</v>
      </c>
    </row>
    <row r="31" spans="1:39" x14ac:dyDescent="0.25">
      <c r="A31" s="12" t="s">
        <v>61</v>
      </c>
      <c r="B31" s="12" t="s">
        <v>64</v>
      </c>
      <c r="C31" s="5" t="s">
        <v>42</v>
      </c>
      <c r="D31" s="5"/>
      <c r="E31" s="6">
        <v>0.91500000000000004</v>
      </c>
      <c r="F31" s="6">
        <v>8.2000000000000003E-2</v>
      </c>
      <c r="G31" s="6">
        <v>0.218</v>
      </c>
      <c r="H31" s="6">
        <v>0.218</v>
      </c>
      <c r="I31" s="7">
        <v>2</v>
      </c>
      <c r="J31" s="6">
        <v>0</v>
      </c>
      <c r="K31" s="7">
        <v>47</v>
      </c>
      <c r="L31" s="7">
        <v>-2</v>
      </c>
      <c r="M31" s="7">
        <v>5389</v>
      </c>
      <c r="N31" s="7">
        <v>4757</v>
      </c>
      <c r="O31" s="4">
        <f t="shared" si="0"/>
        <v>632</v>
      </c>
      <c r="P31" s="6">
        <v>0.13300000000000001</v>
      </c>
      <c r="Q31" s="7">
        <v>1038</v>
      </c>
      <c r="R31" s="7">
        <v>1400</v>
      </c>
      <c r="S31" s="6">
        <v>-0.25900000000000001</v>
      </c>
      <c r="T31" s="7">
        <v>518.79999999999995</v>
      </c>
      <c r="U31" s="6">
        <v>-0.25900000000000001</v>
      </c>
      <c r="V31" s="7">
        <v>12849</v>
      </c>
      <c r="W31" s="6">
        <v>-7.0999999999999994E-2</v>
      </c>
      <c r="X31" s="6">
        <v>8.0000000000000002E-3</v>
      </c>
      <c r="Y31" s="6">
        <v>2.7090000000000001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5"/>
      <c r="AG31" s="5"/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0</v>
      </c>
    </row>
    <row r="32" spans="1:39" x14ac:dyDescent="0.25">
      <c r="A32" s="12" t="s">
        <v>61</v>
      </c>
      <c r="B32" s="12" t="s">
        <v>66</v>
      </c>
      <c r="C32" s="2" t="s">
        <v>55</v>
      </c>
      <c r="D32" s="2" t="s">
        <v>67</v>
      </c>
      <c r="E32" s="3">
        <v>0.94799999999999995</v>
      </c>
      <c r="F32" s="3">
        <v>2.1000000000000001E-2</v>
      </c>
      <c r="G32" s="3">
        <v>0.20100000000000001</v>
      </c>
      <c r="H32" s="3">
        <v>0.20100000000000001</v>
      </c>
      <c r="I32" s="4">
        <v>1</v>
      </c>
      <c r="J32" s="3">
        <v>-0.66700000000000004</v>
      </c>
      <c r="K32" s="4">
        <v>48</v>
      </c>
      <c r="L32" s="4">
        <v>0</v>
      </c>
      <c r="M32" s="4">
        <v>9980</v>
      </c>
      <c r="N32" s="4">
        <v>8684</v>
      </c>
      <c r="O32" s="4">
        <f t="shared" si="0"/>
        <v>1296</v>
      </c>
      <c r="P32" s="3">
        <v>0.14899999999999999</v>
      </c>
      <c r="Q32" s="4">
        <v>1743</v>
      </c>
      <c r="R32" s="4">
        <v>1538</v>
      </c>
      <c r="S32" s="3">
        <v>0.13300000000000001</v>
      </c>
      <c r="T32" s="4">
        <v>1743.17</v>
      </c>
      <c r="U32" s="3">
        <v>2.4</v>
      </c>
      <c r="V32" s="4">
        <v>14217</v>
      </c>
      <c r="W32" s="3">
        <v>-2.3E-2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8"/>
      <c r="AG32" s="8"/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4">
        <v>0</v>
      </c>
    </row>
    <row r="33" spans="1:39" x14ac:dyDescent="0.25">
      <c r="A33" s="12" t="s">
        <v>61</v>
      </c>
      <c r="B33" s="12" t="s">
        <v>66</v>
      </c>
      <c r="C33" s="5" t="s">
        <v>42</v>
      </c>
      <c r="D33" s="5"/>
      <c r="E33" s="6">
        <v>0.94799999999999995</v>
      </c>
      <c r="F33" s="6">
        <v>2.1000000000000001E-2</v>
      </c>
      <c r="G33" s="6">
        <v>0.20100000000000001</v>
      </c>
      <c r="H33" s="6">
        <v>0.20100000000000001</v>
      </c>
      <c r="I33" s="7">
        <v>1</v>
      </c>
      <c r="J33" s="6">
        <v>-0.66700000000000004</v>
      </c>
      <c r="K33" s="7">
        <v>48</v>
      </c>
      <c r="L33" s="7">
        <v>0</v>
      </c>
      <c r="M33" s="7">
        <v>9980</v>
      </c>
      <c r="N33" s="7">
        <v>8684</v>
      </c>
      <c r="O33" s="4">
        <f t="shared" si="0"/>
        <v>1296</v>
      </c>
      <c r="P33" s="6">
        <v>0.14899999999999999</v>
      </c>
      <c r="Q33" s="7">
        <v>1743</v>
      </c>
      <c r="R33" s="7">
        <v>1538</v>
      </c>
      <c r="S33" s="6">
        <v>0.13300000000000001</v>
      </c>
      <c r="T33" s="7">
        <v>1743.17</v>
      </c>
      <c r="U33" s="6">
        <v>2.4</v>
      </c>
      <c r="V33" s="7">
        <v>14217</v>
      </c>
      <c r="W33" s="6">
        <v>-2.3E-2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5"/>
      <c r="AG33" s="5"/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7">
        <v>0</v>
      </c>
    </row>
    <row r="34" spans="1:39" x14ac:dyDescent="0.25">
      <c r="A34" s="12" t="s">
        <v>61</v>
      </c>
      <c r="B34" s="12" t="s">
        <v>68</v>
      </c>
      <c r="C34" s="2" t="s">
        <v>69</v>
      </c>
      <c r="D34" s="2" t="s">
        <v>70</v>
      </c>
      <c r="E34" s="3">
        <v>1</v>
      </c>
      <c r="F34" s="3">
        <v>0</v>
      </c>
      <c r="G34" s="3">
        <v>0</v>
      </c>
      <c r="H34" s="3">
        <v>0</v>
      </c>
      <c r="I34" s="4">
        <v>0</v>
      </c>
      <c r="J34" s="3">
        <v>-1</v>
      </c>
      <c r="K34" s="4">
        <v>14</v>
      </c>
      <c r="L34" s="4">
        <v>0</v>
      </c>
      <c r="M34" s="4">
        <v>1124</v>
      </c>
      <c r="N34" s="4">
        <v>1123</v>
      </c>
      <c r="O34" s="4">
        <f t="shared" si="0"/>
        <v>1</v>
      </c>
      <c r="P34" s="3">
        <v>0</v>
      </c>
      <c r="Q34" s="4">
        <v>0</v>
      </c>
      <c r="R34" s="4">
        <v>350</v>
      </c>
      <c r="S34" s="3">
        <v>-1</v>
      </c>
      <c r="T34" s="8"/>
      <c r="U34" s="8"/>
      <c r="V34" s="4">
        <v>1644</v>
      </c>
      <c r="W34" s="3">
        <v>5.0000000000000001E-3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8"/>
      <c r="AG34" s="8"/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4">
        <v>0</v>
      </c>
    </row>
    <row r="35" spans="1:39" x14ac:dyDescent="0.25">
      <c r="A35" s="12" t="s">
        <v>61</v>
      </c>
      <c r="B35" s="12" t="s">
        <v>68</v>
      </c>
      <c r="C35" s="5" t="s">
        <v>42</v>
      </c>
      <c r="D35" s="5"/>
      <c r="E35" s="6">
        <v>1</v>
      </c>
      <c r="F35" s="6">
        <v>0</v>
      </c>
      <c r="G35" s="6">
        <v>0</v>
      </c>
      <c r="H35" s="6">
        <v>0</v>
      </c>
      <c r="I35" s="7">
        <v>0</v>
      </c>
      <c r="J35" s="6">
        <v>-1</v>
      </c>
      <c r="K35" s="7">
        <v>14</v>
      </c>
      <c r="L35" s="7">
        <v>0</v>
      </c>
      <c r="M35" s="7">
        <v>1124</v>
      </c>
      <c r="N35" s="7">
        <v>1123</v>
      </c>
      <c r="O35" s="4">
        <f t="shared" si="0"/>
        <v>1</v>
      </c>
      <c r="P35" s="6">
        <v>0</v>
      </c>
      <c r="Q35" s="7">
        <v>0</v>
      </c>
      <c r="R35" s="7">
        <v>350</v>
      </c>
      <c r="S35" s="6">
        <v>-1</v>
      </c>
      <c r="T35" s="5"/>
      <c r="U35" s="5"/>
      <c r="V35" s="7">
        <v>1644</v>
      </c>
      <c r="W35" s="6">
        <v>5.0000000000000001E-3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5"/>
      <c r="AG35" s="5"/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7">
        <v>0</v>
      </c>
    </row>
    <row r="36" spans="1:39" x14ac:dyDescent="0.25">
      <c r="A36" s="12" t="s">
        <v>61</v>
      </c>
      <c r="B36" s="12" t="s">
        <v>46</v>
      </c>
      <c r="C36" s="2" t="s">
        <v>71</v>
      </c>
      <c r="D36" s="2" t="s">
        <v>71</v>
      </c>
      <c r="E36" s="3">
        <v>1.103</v>
      </c>
      <c r="F36" s="3">
        <v>0</v>
      </c>
      <c r="G36" s="3">
        <v>3.9E-2</v>
      </c>
      <c r="H36" s="3">
        <v>0</v>
      </c>
      <c r="I36" s="4">
        <v>1</v>
      </c>
      <c r="J36" s="3">
        <v>-0.75</v>
      </c>
      <c r="K36" s="4">
        <v>67</v>
      </c>
      <c r="L36" s="4">
        <v>1</v>
      </c>
      <c r="M36" s="4">
        <v>7579</v>
      </c>
      <c r="N36" s="4">
        <v>6635</v>
      </c>
      <c r="O36" s="4">
        <f t="shared" si="0"/>
        <v>944</v>
      </c>
      <c r="P36" s="3">
        <v>0.14199999999999999</v>
      </c>
      <c r="Q36" s="4">
        <v>262</v>
      </c>
      <c r="R36" s="4">
        <v>1579</v>
      </c>
      <c r="S36" s="3">
        <v>-0.83399999999999996</v>
      </c>
      <c r="T36" s="4">
        <v>262.04000000000002</v>
      </c>
      <c r="U36" s="3">
        <v>-0.33600000000000002</v>
      </c>
      <c r="V36" s="4">
        <v>8599</v>
      </c>
      <c r="W36" s="3">
        <v>7.4999999999999997E-2</v>
      </c>
      <c r="X36" s="3">
        <v>8.0000000000000002E-3</v>
      </c>
      <c r="Y36" s="3">
        <v>2.6840000000000002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8"/>
      <c r="AG36" s="8"/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4">
        <v>0</v>
      </c>
    </row>
    <row r="37" spans="1:39" x14ac:dyDescent="0.25">
      <c r="A37" s="12" t="s">
        <v>61</v>
      </c>
      <c r="B37" s="12" t="s">
        <v>46</v>
      </c>
      <c r="C37" s="2" t="s">
        <v>72</v>
      </c>
      <c r="D37" s="2" t="s">
        <v>72</v>
      </c>
      <c r="E37" s="3">
        <v>0.75800000000000001</v>
      </c>
      <c r="F37" s="3">
        <v>6.5000000000000002E-2</v>
      </c>
      <c r="G37" s="3">
        <v>0.28699999999999998</v>
      </c>
      <c r="H37" s="3">
        <v>0.28699999999999998</v>
      </c>
      <c r="I37" s="4">
        <v>2</v>
      </c>
      <c r="J37" s="3">
        <v>1</v>
      </c>
      <c r="K37" s="4">
        <v>31</v>
      </c>
      <c r="L37" s="4">
        <v>0</v>
      </c>
      <c r="M37" s="4">
        <v>2950</v>
      </c>
      <c r="N37" s="4">
        <v>2824</v>
      </c>
      <c r="O37" s="4">
        <f t="shared" si="0"/>
        <v>126</v>
      </c>
      <c r="P37" s="3">
        <v>4.4999999999999998E-2</v>
      </c>
      <c r="Q37" s="4">
        <v>810</v>
      </c>
      <c r="R37" s="4">
        <v>187</v>
      </c>
      <c r="S37" s="3">
        <v>3.3239999999999998</v>
      </c>
      <c r="T37" s="4">
        <v>405.03</v>
      </c>
      <c r="U37" s="3">
        <v>1.1619999999999999</v>
      </c>
      <c r="V37" s="4">
        <v>1930</v>
      </c>
      <c r="W37" s="3">
        <v>0.09</v>
      </c>
      <c r="X37" s="3">
        <v>4.5999999999999999E-2</v>
      </c>
      <c r="Y37" s="3">
        <v>0.16400000000000001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8"/>
      <c r="AG37" s="8"/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4">
        <v>0</v>
      </c>
    </row>
    <row r="38" spans="1:39" x14ac:dyDescent="0.25">
      <c r="A38" s="12" t="s">
        <v>61</v>
      </c>
      <c r="B38" s="12" t="s">
        <v>46</v>
      </c>
      <c r="C38" s="5" t="s">
        <v>42</v>
      </c>
      <c r="D38" s="5"/>
      <c r="E38" s="6">
        <v>1</v>
      </c>
      <c r="F38" s="6">
        <v>2.1000000000000001E-2</v>
      </c>
      <c r="G38" s="6">
        <v>0.113</v>
      </c>
      <c r="H38" s="6">
        <v>8.5999999999999993E-2</v>
      </c>
      <c r="I38" s="7">
        <v>3</v>
      </c>
      <c r="J38" s="6">
        <v>-0.4</v>
      </c>
      <c r="K38" s="7">
        <v>98</v>
      </c>
      <c r="L38" s="7">
        <v>1</v>
      </c>
      <c r="M38" s="7">
        <v>10529</v>
      </c>
      <c r="N38" s="7">
        <v>9459</v>
      </c>
      <c r="O38" s="4">
        <f t="shared" si="0"/>
        <v>1070</v>
      </c>
      <c r="P38" s="6">
        <v>0.113</v>
      </c>
      <c r="Q38" s="7">
        <v>1072</v>
      </c>
      <c r="R38" s="7">
        <v>1766</v>
      </c>
      <c r="S38" s="6">
        <v>-0.39300000000000002</v>
      </c>
      <c r="T38" s="7">
        <v>357.37</v>
      </c>
      <c r="U38" s="6">
        <v>1.2E-2</v>
      </c>
      <c r="V38" s="7">
        <v>10530</v>
      </c>
      <c r="W38" s="6">
        <v>7.8E-2</v>
      </c>
      <c r="X38" s="6">
        <v>1.4E-2</v>
      </c>
      <c r="Y38" s="6">
        <v>2.222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5"/>
      <c r="AG38" s="5"/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7">
        <v>0</v>
      </c>
    </row>
    <row r="39" spans="1:39" ht="33.75" x14ac:dyDescent="0.25">
      <c r="A39" s="12" t="s">
        <v>61</v>
      </c>
      <c r="B39" s="12" t="s">
        <v>73</v>
      </c>
      <c r="C39" s="2" t="s">
        <v>73</v>
      </c>
      <c r="D39" s="2" t="s">
        <v>74</v>
      </c>
      <c r="E39" s="3">
        <v>0.16400000000000001</v>
      </c>
      <c r="F39" s="3">
        <v>0</v>
      </c>
      <c r="G39" s="3">
        <v>0</v>
      </c>
      <c r="H39" s="3">
        <v>0</v>
      </c>
      <c r="I39" s="4">
        <v>0</v>
      </c>
      <c r="J39" s="3">
        <v>-1</v>
      </c>
      <c r="K39" s="4">
        <v>9</v>
      </c>
      <c r="L39" s="4">
        <v>0</v>
      </c>
      <c r="M39" s="4">
        <v>451</v>
      </c>
      <c r="N39" s="4">
        <v>2749</v>
      </c>
      <c r="O39" s="4">
        <f t="shared" si="0"/>
        <v>-2298</v>
      </c>
      <c r="P39" s="3">
        <v>-0.83599999999999997</v>
      </c>
      <c r="Q39" s="4">
        <v>0</v>
      </c>
      <c r="R39" s="4">
        <v>405</v>
      </c>
      <c r="S39" s="3">
        <v>-1</v>
      </c>
      <c r="T39" s="8"/>
      <c r="U39" s="8"/>
      <c r="V39" s="4">
        <v>1245</v>
      </c>
      <c r="W39" s="3">
        <v>-0.312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8"/>
      <c r="AG39" s="8"/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4">
        <v>0</v>
      </c>
    </row>
    <row r="40" spans="1:39" x14ac:dyDescent="0.25">
      <c r="A40" s="12" t="s">
        <v>61</v>
      </c>
      <c r="B40" s="12" t="s">
        <v>73</v>
      </c>
      <c r="C40" s="5" t="s">
        <v>42</v>
      </c>
      <c r="D40" s="5"/>
      <c r="E40" s="6">
        <v>0.16400000000000001</v>
      </c>
      <c r="F40" s="6">
        <v>0</v>
      </c>
      <c r="G40" s="6">
        <v>0</v>
      </c>
      <c r="H40" s="6">
        <v>0</v>
      </c>
      <c r="I40" s="7">
        <v>0</v>
      </c>
      <c r="J40" s="6">
        <v>-1</v>
      </c>
      <c r="K40" s="7">
        <v>9</v>
      </c>
      <c r="L40" s="7">
        <v>0</v>
      </c>
      <c r="M40" s="7">
        <v>451</v>
      </c>
      <c r="N40" s="7">
        <v>2749</v>
      </c>
      <c r="O40" s="4">
        <f t="shared" si="0"/>
        <v>-2298</v>
      </c>
      <c r="P40" s="6">
        <v>-0.83599999999999997</v>
      </c>
      <c r="Q40" s="7">
        <v>0</v>
      </c>
      <c r="R40" s="7">
        <v>405</v>
      </c>
      <c r="S40" s="6">
        <v>-1</v>
      </c>
      <c r="T40" s="5"/>
      <c r="U40" s="5"/>
      <c r="V40" s="7">
        <v>1245</v>
      </c>
      <c r="W40" s="6">
        <v>-0.312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5"/>
      <c r="AG40" s="5"/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0</v>
      </c>
    </row>
    <row r="41" spans="1:39" x14ac:dyDescent="0.25">
      <c r="A41" s="12" t="s">
        <v>61</v>
      </c>
      <c r="B41" s="5" t="s">
        <v>42</v>
      </c>
      <c r="C41" s="5"/>
      <c r="D41" s="5"/>
      <c r="E41" s="6">
        <v>0.79200000000000004</v>
      </c>
      <c r="F41" s="6">
        <v>3.5999999999999997E-2</v>
      </c>
      <c r="G41" s="6">
        <v>0.30299999999999999</v>
      </c>
      <c r="H41" s="6">
        <v>0.29399999999999998</v>
      </c>
      <c r="I41" s="7">
        <v>18</v>
      </c>
      <c r="J41" s="6">
        <v>-0.379</v>
      </c>
      <c r="K41" s="7">
        <v>371</v>
      </c>
      <c r="L41" s="7">
        <v>5</v>
      </c>
      <c r="M41" s="7">
        <v>35817</v>
      </c>
      <c r="N41" s="7">
        <v>32730</v>
      </c>
      <c r="O41" s="4">
        <f t="shared" si="0"/>
        <v>3087</v>
      </c>
      <c r="P41" s="6">
        <v>9.4E-2</v>
      </c>
      <c r="Q41" s="7">
        <v>9906</v>
      </c>
      <c r="R41" s="7">
        <v>10758</v>
      </c>
      <c r="S41" s="6">
        <v>-7.9000000000000001E-2</v>
      </c>
      <c r="T41" s="7">
        <v>550.32000000000005</v>
      </c>
      <c r="U41" s="6">
        <v>0.39300000000000002</v>
      </c>
      <c r="V41" s="7">
        <v>49145</v>
      </c>
      <c r="W41" s="6">
        <v>-7.0999999999999994E-2</v>
      </c>
      <c r="X41" s="6">
        <v>5.0000000000000001E-3</v>
      </c>
      <c r="Y41" s="6">
        <v>1.1910000000000001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5"/>
      <c r="AG41" s="5"/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7">
        <v>0</v>
      </c>
    </row>
    <row r="42" spans="1:39" x14ac:dyDescent="0.25">
      <c r="A42" s="2" t="s">
        <v>75</v>
      </c>
      <c r="B42" s="2" t="s">
        <v>75</v>
      </c>
      <c r="C42" s="2" t="s">
        <v>75</v>
      </c>
      <c r="D42" s="2" t="s">
        <v>75</v>
      </c>
      <c r="E42" s="6">
        <v>0.95299999999999996</v>
      </c>
      <c r="F42" s="6">
        <v>3.3000000000000002E-2</v>
      </c>
      <c r="G42" s="6">
        <v>0.11</v>
      </c>
      <c r="H42" s="6">
        <v>0.08</v>
      </c>
      <c r="I42" s="7">
        <v>166</v>
      </c>
      <c r="J42" s="6">
        <v>7.0999999999999994E-2</v>
      </c>
      <c r="K42" s="7">
        <v>4011</v>
      </c>
      <c r="L42" s="7">
        <v>34</v>
      </c>
      <c r="M42" s="7">
        <v>440315</v>
      </c>
      <c r="N42" s="7">
        <v>414154</v>
      </c>
      <c r="O42" s="4">
        <f t="shared" si="0"/>
        <v>26161</v>
      </c>
      <c r="P42" s="6">
        <v>6.3E-2</v>
      </c>
      <c r="Q42" s="7">
        <v>45673</v>
      </c>
      <c r="R42" s="7">
        <v>46351</v>
      </c>
      <c r="S42" s="6">
        <v>-1.4999999999999999E-2</v>
      </c>
      <c r="T42" s="7">
        <v>284.98</v>
      </c>
      <c r="U42" s="6">
        <v>-0.11600000000000001</v>
      </c>
      <c r="V42" s="7">
        <v>330760</v>
      </c>
      <c r="W42" s="6">
        <v>1.2E-2</v>
      </c>
      <c r="X42" s="6">
        <v>6.0000000000000001E-3</v>
      </c>
      <c r="Y42" s="6">
        <v>0.78500000000000003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5"/>
      <c r="AG42" s="5"/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7">
        <v>0</v>
      </c>
    </row>
    <row r="44" spans="1:39" x14ac:dyDescent="0.25">
      <c r="A44" t="s">
        <v>76</v>
      </c>
      <c r="B44" t="s">
        <v>76</v>
      </c>
      <c r="C44" t="s">
        <v>76</v>
      </c>
    </row>
    <row r="45" spans="1:39" x14ac:dyDescent="0.25">
      <c r="A45" s="9" t="s">
        <v>91</v>
      </c>
      <c r="B45" s="9" t="s">
        <v>90</v>
      </c>
    </row>
  </sheetData>
  <mergeCells count="18">
    <mergeCell ref="B39:B40"/>
    <mergeCell ref="C19:C20"/>
    <mergeCell ref="A4:AM4"/>
    <mergeCell ref="A5:AM5"/>
    <mergeCell ref="A7:A25"/>
    <mergeCell ref="A26:A41"/>
    <mergeCell ref="B7:B9"/>
    <mergeCell ref="B10:B11"/>
    <mergeCell ref="B12:B13"/>
    <mergeCell ref="B14:B15"/>
    <mergeCell ref="B34:B35"/>
    <mergeCell ref="B36:B38"/>
    <mergeCell ref="B16:B22"/>
    <mergeCell ref="B23:B24"/>
    <mergeCell ref="B26:B27"/>
    <mergeCell ref="B28:B29"/>
    <mergeCell ref="B30:B31"/>
    <mergeCell ref="B32:B33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6E09-B377-414A-B9F6-BA70CCB29E4B}">
  <dimension ref="A4:AL45"/>
  <sheetViews>
    <sheetView topLeftCell="L30" workbookViewId="0">
      <selection activeCell="B16" sqref="B16:B22"/>
    </sheetView>
  </sheetViews>
  <sheetFormatPr baseColWidth="10" defaultRowHeight="15" x14ac:dyDescent="0.25"/>
  <sheetData>
    <row r="4" spans="1:38" x14ac:dyDescent="0.25">
      <c r="A4" s="10" t="s">
        <v>93</v>
      </c>
      <c r="B4" s="10" t="s">
        <v>93</v>
      </c>
      <c r="C4" s="10" t="s">
        <v>93</v>
      </c>
      <c r="D4" s="10" t="s">
        <v>93</v>
      </c>
      <c r="E4" s="10" t="s">
        <v>93</v>
      </c>
      <c r="F4" s="10" t="s">
        <v>93</v>
      </c>
      <c r="G4" s="10" t="s">
        <v>93</v>
      </c>
      <c r="H4" s="10" t="s">
        <v>93</v>
      </c>
      <c r="I4" s="10" t="s">
        <v>93</v>
      </c>
      <c r="J4" s="10" t="s">
        <v>93</v>
      </c>
      <c r="K4" s="10" t="s">
        <v>93</v>
      </c>
      <c r="L4" s="10" t="s">
        <v>93</v>
      </c>
      <c r="M4" s="10" t="s">
        <v>93</v>
      </c>
      <c r="N4" s="10" t="s">
        <v>93</v>
      </c>
      <c r="O4" s="10" t="s">
        <v>93</v>
      </c>
      <c r="P4" s="10" t="s">
        <v>93</v>
      </c>
      <c r="Q4" s="10" t="s">
        <v>93</v>
      </c>
      <c r="R4" s="10" t="s">
        <v>93</v>
      </c>
      <c r="S4" s="10" t="s">
        <v>93</v>
      </c>
      <c r="T4" s="10" t="s">
        <v>93</v>
      </c>
      <c r="U4" s="10" t="s">
        <v>93</v>
      </c>
      <c r="V4" s="10" t="s">
        <v>93</v>
      </c>
      <c r="W4" s="10" t="s">
        <v>93</v>
      </c>
      <c r="X4" s="10" t="s">
        <v>93</v>
      </c>
      <c r="Y4" s="10" t="s">
        <v>93</v>
      </c>
      <c r="Z4" s="10" t="s">
        <v>93</v>
      </c>
      <c r="AA4" s="10" t="s">
        <v>93</v>
      </c>
      <c r="AB4" s="10" t="s">
        <v>93</v>
      </c>
      <c r="AC4" s="10" t="s">
        <v>93</v>
      </c>
      <c r="AD4" s="10" t="s">
        <v>93</v>
      </c>
      <c r="AE4" s="10" t="s">
        <v>93</v>
      </c>
      <c r="AF4" s="10" t="s">
        <v>93</v>
      </c>
      <c r="AG4" s="10" t="s">
        <v>93</v>
      </c>
      <c r="AH4" s="10" t="s">
        <v>93</v>
      </c>
      <c r="AI4" s="10" t="s">
        <v>93</v>
      </c>
      <c r="AJ4" s="10" t="s">
        <v>93</v>
      </c>
      <c r="AK4" s="10" t="s">
        <v>93</v>
      </c>
      <c r="AL4" s="10" t="s">
        <v>93</v>
      </c>
    </row>
    <row r="5" spans="1:38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 t="s">
        <v>1</v>
      </c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92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1.081</v>
      </c>
      <c r="F7" s="3">
        <v>0</v>
      </c>
      <c r="G7" s="3">
        <v>6.5000000000000002E-2</v>
      </c>
      <c r="H7" s="3">
        <v>0</v>
      </c>
      <c r="I7" s="4">
        <v>1</v>
      </c>
      <c r="J7" s="8"/>
      <c r="K7" s="4">
        <v>23</v>
      </c>
      <c r="L7" s="4">
        <v>1</v>
      </c>
      <c r="M7" s="4">
        <v>1185</v>
      </c>
      <c r="N7" s="4">
        <v>1034</v>
      </c>
      <c r="O7" s="3">
        <v>0.14599999999999999</v>
      </c>
      <c r="P7" s="4">
        <v>67</v>
      </c>
      <c r="Q7" s="4">
        <v>0</v>
      </c>
      <c r="R7" s="8"/>
      <c r="S7" s="4">
        <v>66.77</v>
      </c>
      <c r="T7" s="8"/>
      <c r="U7" s="4">
        <v>935</v>
      </c>
      <c r="V7" s="3">
        <v>-6.4000000000000001E-2</v>
      </c>
      <c r="W7" s="3">
        <v>0</v>
      </c>
      <c r="X7" s="3">
        <v>0</v>
      </c>
      <c r="Y7" s="3">
        <v>0.249</v>
      </c>
      <c r="Z7" s="3">
        <v>0.249</v>
      </c>
      <c r="AA7" s="3">
        <v>0</v>
      </c>
      <c r="AB7" s="3">
        <v>0.249</v>
      </c>
      <c r="AC7" s="3">
        <v>0.249</v>
      </c>
      <c r="AD7" s="3">
        <v>0</v>
      </c>
      <c r="AE7" s="3">
        <v>0</v>
      </c>
      <c r="AF7" s="8"/>
      <c r="AG7" s="8"/>
      <c r="AH7" s="3">
        <v>0.46500000000000002</v>
      </c>
      <c r="AI7" s="3">
        <v>0.46500000000000002</v>
      </c>
      <c r="AJ7" s="3">
        <v>-1E-3</v>
      </c>
      <c r="AK7" s="3">
        <v>0.63160000000000005</v>
      </c>
      <c r="AL7" s="4">
        <v>344</v>
      </c>
    </row>
    <row r="8" spans="1:38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0.92500000000000004</v>
      </c>
      <c r="F8" s="3">
        <v>0.02</v>
      </c>
      <c r="G8" s="3">
        <v>0</v>
      </c>
      <c r="H8" s="3">
        <v>0</v>
      </c>
      <c r="I8" s="4">
        <v>0</v>
      </c>
      <c r="J8" s="8"/>
      <c r="K8" s="4">
        <v>48</v>
      </c>
      <c r="L8" s="4">
        <v>-1</v>
      </c>
      <c r="M8" s="4">
        <v>1833</v>
      </c>
      <c r="N8" s="4">
        <v>1982</v>
      </c>
      <c r="O8" s="3">
        <v>-7.4999999999999997E-2</v>
      </c>
      <c r="P8" s="4">
        <v>0</v>
      </c>
      <c r="Q8" s="4">
        <v>0</v>
      </c>
      <c r="R8" s="8"/>
      <c r="S8" s="8"/>
      <c r="T8" s="8"/>
      <c r="U8" s="4">
        <v>2147</v>
      </c>
      <c r="V8" s="3">
        <v>0.13600000000000001</v>
      </c>
      <c r="W8" s="3">
        <v>4.0000000000000001E-3</v>
      </c>
      <c r="X8" s="3">
        <v>0</v>
      </c>
      <c r="Y8" s="3">
        <v>1.0999999999999999E-2</v>
      </c>
      <c r="Z8" s="3">
        <v>1.0999999999999999E-2</v>
      </c>
      <c r="AA8" s="3">
        <v>0</v>
      </c>
      <c r="AB8" s="3">
        <v>1.0999999999999999E-2</v>
      </c>
      <c r="AC8" s="3">
        <v>1.0999999999999999E-2</v>
      </c>
      <c r="AD8" s="3">
        <v>0</v>
      </c>
      <c r="AE8" s="8"/>
      <c r="AF8" s="8"/>
      <c r="AG8" s="8"/>
      <c r="AH8" s="3">
        <v>0.27500000000000002</v>
      </c>
      <c r="AI8" s="3">
        <v>0.28699999999999998</v>
      </c>
      <c r="AJ8" s="3">
        <v>-1.2E-2</v>
      </c>
      <c r="AK8" s="3">
        <v>0.47189999999999999</v>
      </c>
      <c r="AL8" s="4">
        <v>1134</v>
      </c>
    </row>
    <row r="9" spans="1:38" x14ac:dyDescent="0.25">
      <c r="A9" s="12" t="s">
        <v>37</v>
      </c>
      <c r="B9" s="12" t="s">
        <v>38</v>
      </c>
      <c r="C9" s="5" t="s">
        <v>42</v>
      </c>
      <c r="D9" s="5"/>
      <c r="E9" s="6">
        <v>0.97799999999999998</v>
      </c>
      <c r="F9" s="6">
        <v>1.4E-2</v>
      </c>
      <c r="G9" s="6">
        <v>2.1999999999999999E-2</v>
      </c>
      <c r="H9" s="6">
        <v>0</v>
      </c>
      <c r="I9" s="7">
        <v>1</v>
      </c>
      <c r="J9" s="5"/>
      <c r="K9" s="7">
        <v>71</v>
      </c>
      <c r="L9" s="7">
        <v>0</v>
      </c>
      <c r="M9" s="7">
        <v>3018</v>
      </c>
      <c r="N9" s="7">
        <v>3016</v>
      </c>
      <c r="O9" s="6">
        <v>1E-3</v>
      </c>
      <c r="P9" s="7">
        <v>67</v>
      </c>
      <c r="Q9" s="7">
        <v>0</v>
      </c>
      <c r="R9" s="5"/>
      <c r="S9" s="7">
        <v>66.77</v>
      </c>
      <c r="T9" s="5"/>
      <c r="U9" s="7">
        <v>3081</v>
      </c>
      <c r="V9" s="6">
        <v>6.7000000000000004E-2</v>
      </c>
      <c r="W9" s="6">
        <v>3.0000000000000001E-3</v>
      </c>
      <c r="X9" s="6">
        <v>0</v>
      </c>
      <c r="Y9" s="6">
        <v>8.3000000000000004E-2</v>
      </c>
      <c r="Z9" s="6">
        <v>9.2999999999999999E-2</v>
      </c>
      <c r="AA9" s="6">
        <v>-0.01</v>
      </c>
      <c r="AB9" s="6">
        <v>8.3000000000000004E-2</v>
      </c>
      <c r="AC9" s="6">
        <v>9.2999999999999999E-2</v>
      </c>
      <c r="AD9" s="6">
        <v>-0.01</v>
      </c>
      <c r="AE9" s="6">
        <v>0</v>
      </c>
      <c r="AF9" s="5"/>
      <c r="AG9" s="5"/>
      <c r="AH9" s="6">
        <v>0.33200000000000002</v>
      </c>
      <c r="AI9" s="6">
        <v>0.34899999999999998</v>
      </c>
      <c r="AJ9" s="6">
        <v>-1.6E-2</v>
      </c>
      <c r="AK9" s="6">
        <v>0.52039999999999997</v>
      </c>
      <c r="AL9" s="7">
        <v>1478</v>
      </c>
    </row>
    <row r="10" spans="1:38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0.97299999999999998</v>
      </c>
      <c r="F10" s="3">
        <v>3.5999999999999997E-2</v>
      </c>
      <c r="G10" s="3">
        <v>8.5999999999999993E-2</v>
      </c>
      <c r="H10" s="3">
        <v>5.8000000000000003E-2</v>
      </c>
      <c r="I10" s="4">
        <v>111</v>
      </c>
      <c r="J10" s="3">
        <v>0.23300000000000001</v>
      </c>
      <c r="K10" s="4">
        <v>2535</v>
      </c>
      <c r="L10" s="4">
        <v>20</v>
      </c>
      <c r="M10" s="4">
        <v>345404</v>
      </c>
      <c r="N10" s="4">
        <v>326067</v>
      </c>
      <c r="O10" s="3">
        <v>5.8999999999999997E-2</v>
      </c>
      <c r="P10" s="4">
        <v>28042</v>
      </c>
      <c r="Q10" s="4">
        <v>27141</v>
      </c>
      <c r="R10" s="3">
        <v>3.3000000000000002E-2</v>
      </c>
      <c r="S10" s="4">
        <v>261.85000000000002</v>
      </c>
      <c r="T10" s="3">
        <v>-0.188</v>
      </c>
      <c r="U10" s="4">
        <v>223603</v>
      </c>
      <c r="V10" s="3">
        <v>2.1000000000000001E-2</v>
      </c>
      <c r="W10" s="3">
        <v>5.0000000000000001E-3</v>
      </c>
      <c r="X10" s="3">
        <v>0.79900000000000004</v>
      </c>
      <c r="Y10" s="3">
        <v>0.81399999999999995</v>
      </c>
      <c r="Z10" s="3">
        <v>0.50700000000000001</v>
      </c>
      <c r="AA10" s="3">
        <v>0.307</v>
      </c>
      <c r="AB10" s="3">
        <v>0.81399999999999995</v>
      </c>
      <c r="AC10" s="3">
        <v>0.50700000000000001</v>
      </c>
      <c r="AD10" s="3">
        <v>0.307</v>
      </c>
      <c r="AE10" s="3">
        <v>2.161</v>
      </c>
      <c r="AF10" s="3">
        <v>0.72699999999999998</v>
      </c>
      <c r="AG10" s="3">
        <v>1.4339999999999999</v>
      </c>
      <c r="AH10" s="3">
        <v>0.9</v>
      </c>
      <c r="AI10" s="3">
        <v>0.59299999999999997</v>
      </c>
      <c r="AJ10" s="3">
        <v>0.307</v>
      </c>
      <c r="AK10" s="3">
        <v>1.0716000000000001</v>
      </c>
      <c r="AL10" s="4">
        <v>-16018</v>
      </c>
    </row>
    <row r="11" spans="1:38" x14ac:dyDescent="0.25">
      <c r="A11" s="12" t="s">
        <v>37</v>
      </c>
      <c r="B11" s="12" t="s">
        <v>43</v>
      </c>
      <c r="C11" s="5" t="s">
        <v>42</v>
      </c>
      <c r="D11" s="5"/>
      <c r="E11" s="6">
        <v>0.97299999999999998</v>
      </c>
      <c r="F11" s="6">
        <v>3.5999999999999997E-2</v>
      </c>
      <c r="G11" s="6">
        <v>8.5999999999999993E-2</v>
      </c>
      <c r="H11" s="6">
        <v>5.8000000000000003E-2</v>
      </c>
      <c r="I11" s="7">
        <v>111</v>
      </c>
      <c r="J11" s="6">
        <v>0.23300000000000001</v>
      </c>
      <c r="K11" s="7">
        <v>2535</v>
      </c>
      <c r="L11" s="7">
        <v>20</v>
      </c>
      <c r="M11" s="7">
        <v>345404</v>
      </c>
      <c r="N11" s="7">
        <v>326067</v>
      </c>
      <c r="O11" s="6">
        <v>5.8999999999999997E-2</v>
      </c>
      <c r="P11" s="7">
        <v>28042</v>
      </c>
      <c r="Q11" s="7">
        <v>27141</v>
      </c>
      <c r="R11" s="6">
        <v>3.3000000000000002E-2</v>
      </c>
      <c r="S11" s="7">
        <v>261.85000000000002</v>
      </c>
      <c r="T11" s="6">
        <v>-0.188</v>
      </c>
      <c r="U11" s="7">
        <v>223603</v>
      </c>
      <c r="V11" s="6">
        <v>2.1000000000000001E-2</v>
      </c>
      <c r="W11" s="6">
        <v>5.0000000000000001E-3</v>
      </c>
      <c r="X11" s="6">
        <v>0.79900000000000004</v>
      </c>
      <c r="Y11" s="6">
        <v>0.81399999999999995</v>
      </c>
      <c r="Z11" s="6">
        <v>0.50700000000000001</v>
      </c>
      <c r="AA11" s="6">
        <v>0.307</v>
      </c>
      <c r="AB11" s="6">
        <v>0.81399999999999995</v>
      </c>
      <c r="AC11" s="6">
        <v>0.50700000000000001</v>
      </c>
      <c r="AD11" s="6">
        <v>0.307</v>
      </c>
      <c r="AE11" s="6">
        <v>2.161</v>
      </c>
      <c r="AF11" s="6">
        <v>0.72699999999999998</v>
      </c>
      <c r="AG11" s="6">
        <v>1.4339999999999999</v>
      </c>
      <c r="AH11" s="6">
        <v>0.9</v>
      </c>
      <c r="AI11" s="6">
        <v>0.59299999999999997</v>
      </c>
      <c r="AJ11" s="6">
        <v>0.307</v>
      </c>
      <c r="AK11" s="6">
        <v>1.0716000000000001</v>
      </c>
      <c r="AL11" s="7">
        <v>-16018</v>
      </c>
    </row>
    <row r="12" spans="1:38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0.93799999999999994</v>
      </c>
      <c r="F12" s="3">
        <v>2.3E-2</v>
      </c>
      <c r="G12" s="3">
        <v>0.105</v>
      </c>
      <c r="H12" s="3">
        <v>5.8999999999999997E-2</v>
      </c>
      <c r="I12" s="4">
        <v>23</v>
      </c>
      <c r="J12" s="3">
        <v>-0.08</v>
      </c>
      <c r="K12" s="4">
        <v>758</v>
      </c>
      <c r="L12" s="4">
        <v>6</v>
      </c>
      <c r="M12" s="4">
        <v>41017</v>
      </c>
      <c r="N12" s="4">
        <v>39360</v>
      </c>
      <c r="O12" s="3">
        <v>4.2000000000000003E-2</v>
      </c>
      <c r="P12" s="4">
        <v>4116</v>
      </c>
      <c r="Q12" s="4">
        <v>5273</v>
      </c>
      <c r="R12" s="3">
        <v>-0.219</v>
      </c>
      <c r="S12" s="4">
        <v>178.97</v>
      </c>
      <c r="T12" s="3">
        <v>-0.151</v>
      </c>
      <c r="U12" s="4">
        <v>39003</v>
      </c>
      <c r="V12" s="3">
        <v>4.1000000000000002E-2</v>
      </c>
      <c r="W12" s="3">
        <v>8.0000000000000002E-3</v>
      </c>
      <c r="X12" s="3">
        <v>0.436</v>
      </c>
      <c r="Y12" s="3">
        <v>0.52700000000000002</v>
      </c>
      <c r="Z12" s="3">
        <v>0.74099999999999999</v>
      </c>
      <c r="AA12" s="3">
        <v>-0.214</v>
      </c>
      <c r="AB12" s="3">
        <v>0.52700000000000002</v>
      </c>
      <c r="AC12" s="3">
        <v>0.71899999999999997</v>
      </c>
      <c r="AD12" s="3">
        <v>-0.192</v>
      </c>
      <c r="AE12" s="3">
        <v>1.2529999999999999</v>
      </c>
      <c r="AF12" s="3">
        <v>0.75</v>
      </c>
      <c r="AG12" s="3">
        <v>0.504</v>
      </c>
      <c r="AH12" s="3">
        <v>0.748</v>
      </c>
      <c r="AI12" s="3">
        <v>0.96199999999999997</v>
      </c>
      <c r="AJ12" s="3">
        <v>-0.214</v>
      </c>
      <c r="AK12" s="3">
        <v>0.9173</v>
      </c>
      <c r="AL12" s="4">
        <v>3227</v>
      </c>
    </row>
    <row r="13" spans="1:38" x14ac:dyDescent="0.25">
      <c r="A13" s="12" t="s">
        <v>37</v>
      </c>
      <c r="B13" s="12" t="s">
        <v>45</v>
      </c>
      <c r="C13" s="5" t="s">
        <v>42</v>
      </c>
      <c r="D13" s="5"/>
      <c r="E13" s="6">
        <v>0.93799999999999994</v>
      </c>
      <c r="F13" s="6">
        <v>2.3E-2</v>
      </c>
      <c r="G13" s="6">
        <v>0.105</v>
      </c>
      <c r="H13" s="6">
        <v>5.8999999999999997E-2</v>
      </c>
      <c r="I13" s="7">
        <v>23</v>
      </c>
      <c r="J13" s="6">
        <v>-0.08</v>
      </c>
      <c r="K13" s="7">
        <v>758</v>
      </c>
      <c r="L13" s="7">
        <v>6</v>
      </c>
      <c r="M13" s="7">
        <v>41017</v>
      </c>
      <c r="N13" s="7">
        <v>39360</v>
      </c>
      <c r="O13" s="6">
        <v>4.2000000000000003E-2</v>
      </c>
      <c r="P13" s="7">
        <v>4116</v>
      </c>
      <c r="Q13" s="7">
        <v>5273</v>
      </c>
      <c r="R13" s="6">
        <v>-0.219</v>
      </c>
      <c r="S13" s="7">
        <v>178.97</v>
      </c>
      <c r="T13" s="6">
        <v>-0.151</v>
      </c>
      <c r="U13" s="7">
        <v>39003</v>
      </c>
      <c r="V13" s="6">
        <v>4.1000000000000002E-2</v>
      </c>
      <c r="W13" s="6">
        <v>8.0000000000000002E-3</v>
      </c>
      <c r="X13" s="6">
        <v>0.436</v>
      </c>
      <c r="Y13" s="6">
        <v>0.52700000000000002</v>
      </c>
      <c r="Z13" s="6">
        <v>0.74099999999999999</v>
      </c>
      <c r="AA13" s="6">
        <v>-0.214</v>
      </c>
      <c r="AB13" s="6">
        <v>0.52700000000000002</v>
      </c>
      <c r="AC13" s="6">
        <v>0.71899999999999997</v>
      </c>
      <c r="AD13" s="6">
        <v>-0.192</v>
      </c>
      <c r="AE13" s="6">
        <v>1.2529999999999999</v>
      </c>
      <c r="AF13" s="6">
        <v>0.75</v>
      </c>
      <c r="AG13" s="6">
        <v>0.504</v>
      </c>
      <c r="AH13" s="6">
        <v>0.748</v>
      </c>
      <c r="AI13" s="6">
        <v>0.96199999999999997</v>
      </c>
      <c r="AJ13" s="6">
        <v>-0.214</v>
      </c>
      <c r="AK13" s="6">
        <v>0.9173</v>
      </c>
      <c r="AL13" s="7">
        <v>3227</v>
      </c>
    </row>
    <row r="14" spans="1:38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0.97899999999999998</v>
      </c>
      <c r="F14" s="3">
        <v>0</v>
      </c>
      <c r="G14" s="3">
        <v>0</v>
      </c>
      <c r="H14" s="3">
        <v>0</v>
      </c>
      <c r="I14" s="4">
        <v>0</v>
      </c>
      <c r="J14" s="3">
        <v>-1</v>
      </c>
      <c r="K14" s="4">
        <v>24</v>
      </c>
      <c r="L14" s="4">
        <v>0</v>
      </c>
      <c r="M14" s="4">
        <v>4393</v>
      </c>
      <c r="N14" s="4">
        <v>4489</v>
      </c>
      <c r="O14" s="3">
        <v>-2.1000000000000001E-2</v>
      </c>
      <c r="P14" s="4">
        <v>0</v>
      </c>
      <c r="Q14" s="4">
        <v>1003</v>
      </c>
      <c r="R14" s="3">
        <v>-1</v>
      </c>
      <c r="S14" s="8"/>
      <c r="T14" s="8"/>
      <c r="U14" s="4">
        <v>4184</v>
      </c>
      <c r="V14" s="3">
        <v>1.6E-2</v>
      </c>
      <c r="W14" s="3">
        <v>4.2000000000000003E-2</v>
      </c>
      <c r="X14" s="3">
        <v>0.32200000000000001</v>
      </c>
      <c r="Y14" s="3">
        <v>0.437</v>
      </c>
      <c r="Z14" s="3">
        <v>0.43</v>
      </c>
      <c r="AA14" s="3">
        <v>7.0000000000000001E-3</v>
      </c>
      <c r="AB14" s="3">
        <v>0.437</v>
      </c>
      <c r="AC14" s="3">
        <v>0.43</v>
      </c>
      <c r="AD14" s="3">
        <v>7.0000000000000001E-3</v>
      </c>
      <c r="AE14" s="8"/>
      <c r="AF14" s="3">
        <v>0</v>
      </c>
      <c r="AG14" s="8"/>
      <c r="AH14" s="3">
        <v>0.63700000000000001</v>
      </c>
      <c r="AI14" s="3">
        <v>0.63</v>
      </c>
      <c r="AJ14" s="3">
        <v>7.0000000000000001E-3</v>
      </c>
      <c r="AK14" s="3">
        <v>0.82509999999999994</v>
      </c>
      <c r="AL14" s="4">
        <v>732</v>
      </c>
    </row>
    <row r="15" spans="1:38" x14ac:dyDescent="0.25">
      <c r="A15" s="12" t="s">
        <v>37</v>
      </c>
      <c r="B15" s="12" t="s">
        <v>46</v>
      </c>
      <c r="C15" s="5" t="s">
        <v>42</v>
      </c>
      <c r="D15" s="5"/>
      <c r="E15" s="6">
        <v>0.97899999999999998</v>
      </c>
      <c r="F15" s="6">
        <v>0</v>
      </c>
      <c r="G15" s="6">
        <v>0</v>
      </c>
      <c r="H15" s="6">
        <v>0</v>
      </c>
      <c r="I15" s="7">
        <v>0</v>
      </c>
      <c r="J15" s="6">
        <v>-1</v>
      </c>
      <c r="K15" s="7">
        <v>24</v>
      </c>
      <c r="L15" s="7">
        <v>0</v>
      </c>
      <c r="M15" s="7">
        <v>4393</v>
      </c>
      <c r="N15" s="7">
        <v>4489</v>
      </c>
      <c r="O15" s="6">
        <v>-2.1000000000000001E-2</v>
      </c>
      <c r="P15" s="7">
        <v>0</v>
      </c>
      <c r="Q15" s="7">
        <v>1003</v>
      </c>
      <c r="R15" s="6">
        <v>-1</v>
      </c>
      <c r="S15" s="5"/>
      <c r="T15" s="5"/>
      <c r="U15" s="7">
        <v>4184</v>
      </c>
      <c r="V15" s="6">
        <v>1.6E-2</v>
      </c>
      <c r="W15" s="6">
        <v>4.2000000000000003E-2</v>
      </c>
      <c r="X15" s="6">
        <v>0.32200000000000001</v>
      </c>
      <c r="Y15" s="6">
        <v>0.437</v>
      </c>
      <c r="Z15" s="6">
        <v>0.43</v>
      </c>
      <c r="AA15" s="6">
        <v>7.0000000000000001E-3</v>
      </c>
      <c r="AB15" s="6">
        <v>0.437</v>
      </c>
      <c r="AC15" s="6">
        <v>0.43</v>
      </c>
      <c r="AD15" s="6">
        <v>7.0000000000000001E-3</v>
      </c>
      <c r="AE15" s="5"/>
      <c r="AF15" s="6">
        <v>0</v>
      </c>
      <c r="AG15" s="5"/>
      <c r="AH15" s="6">
        <v>0.63700000000000001</v>
      </c>
      <c r="AI15" s="6">
        <v>0.63</v>
      </c>
      <c r="AJ15" s="6">
        <v>7.0000000000000001E-3</v>
      </c>
      <c r="AK15" s="6">
        <v>0.82509999999999994</v>
      </c>
      <c r="AL15" s="7">
        <v>732</v>
      </c>
    </row>
    <row r="16" spans="1:38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2</v>
      </c>
      <c r="G16" s="3">
        <v>0.30599999999999999</v>
      </c>
      <c r="H16" s="3">
        <v>0.126</v>
      </c>
      <c r="I16" s="4">
        <v>2</v>
      </c>
      <c r="J16" s="3">
        <v>-0.33300000000000002</v>
      </c>
      <c r="K16" s="4">
        <v>1</v>
      </c>
      <c r="L16" s="4">
        <v>0</v>
      </c>
      <c r="M16" s="4">
        <v>243</v>
      </c>
      <c r="N16" s="4">
        <v>794</v>
      </c>
      <c r="O16" s="3">
        <v>-0.69399999999999995</v>
      </c>
      <c r="P16" s="4">
        <v>243</v>
      </c>
      <c r="Q16" s="4">
        <v>794</v>
      </c>
      <c r="R16" s="3">
        <v>-0.69399999999999995</v>
      </c>
      <c r="S16" s="4">
        <v>1362.97</v>
      </c>
      <c r="T16" s="3">
        <v>-0.67600000000000005</v>
      </c>
      <c r="U16" s="4">
        <v>369</v>
      </c>
      <c r="V16" s="3">
        <v>0.76500000000000001</v>
      </c>
      <c r="W16" s="3">
        <v>0</v>
      </c>
      <c r="X16" s="3">
        <v>0</v>
      </c>
      <c r="Y16" s="3">
        <v>-5.8000000000000003E-2</v>
      </c>
      <c r="Z16" s="3">
        <v>-5.8000000000000003E-2</v>
      </c>
      <c r="AA16" s="3">
        <v>0</v>
      </c>
      <c r="AB16" s="3">
        <v>-5.8000000000000003E-2</v>
      </c>
      <c r="AC16" s="3">
        <v>-5.8000000000000003E-2</v>
      </c>
      <c r="AD16" s="3">
        <v>0</v>
      </c>
      <c r="AE16" s="3">
        <v>0</v>
      </c>
      <c r="AF16" s="3">
        <v>0</v>
      </c>
      <c r="AG16" s="3">
        <v>0</v>
      </c>
      <c r="AH16" s="3">
        <v>9.1999999999999998E-2</v>
      </c>
      <c r="AI16" s="3">
        <v>9.1999999999999998E-2</v>
      </c>
      <c r="AJ16" s="3">
        <v>0</v>
      </c>
      <c r="AK16" s="3">
        <v>0.31159999999999999</v>
      </c>
      <c r="AL16" s="4">
        <v>254</v>
      </c>
    </row>
    <row r="17" spans="1:38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</v>
      </c>
      <c r="F17" s="3">
        <v>0.125</v>
      </c>
      <c r="G17" s="3">
        <v>0</v>
      </c>
      <c r="H17" s="3">
        <v>0</v>
      </c>
      <c r="I17" s="4">
        <v>0</v>
      </c>
      <c r="J17" s="8"/>
      <c r="K17" s="4">
        <v>7</v>
      </c>
      <c r="L17" s="4">
        <v>-1</v>
      </c>
      <c r="M17" s="4">
        <v>-104</v>
      </c>
      <c r="N17" s="4">
        <v>0</v>
      </c>
      <c r="O17" s="8"/>
      <c r="P17" s="4">
        <v>0</v>
      </c>
      <c r="Q17" s="4">
        <v>0</v>
      </c>
      <c r="R17" s="8"/>
      <c r="S17" s="8"/>
      <c r="T17" s="8"/>
      <c r="U17" s="4">
        <v>256</v>
      </c>
      <c r="V17" s="3">
        <v>2.1000000000000001E-2</v>
      </c>
      <c r="W17" s="3">
        <v>0</v>
      </c>
      <c r="X17" s="3">
        <v>0</v>
      </c>
      <c r="Y17" s="3">
        <v>0.34699999999999998</v>
      </c>
      <c r="Z17" s="3">
        <v>0.34699999999999998</v>
      </c>
      <c r="AA17" s="3">
        <v>0</v>
      </c>
      <c r="AB17" s="3">
        <v>0.34699999999999998</v>
      </c>
      <c r="AC17" s="3">
        <v>0.34699999999999998</v>
      </c>
      <c r="AD17" s="3">
        <v>0</v>
      </c>
      <c r="AE17" s="8"/>
      <c r="AF17" s="8"/>
      <c r="AG17" s="8"/>
      <c r="AH17" s="3">
        <v>0.497</v>
      </c>
      <c r="AI17" s="3">
        <v>0.497</v>
      </c>
      <c r="AJ17" s="3">
        <v>0</v>
      </c>
      <c r="AK17" s="3">
        <v>0.66720000000000002</v>
      </c>
      <c r="AL17" s="4">
        <v>85</v>
      </c>
    </row>
    <row r="18" spans="1:38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1.05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5</v>
      </c>
      <c r="L18" s="4">
        <v>0</v>
      </c>
      <c r="M18" s="4">
        <v>68</v>
      </c>
      <c r="N18" s="4">
        <v>65</v>
      </c>
      <c r="O18" s="3">
        <v>0.05</v>
      </c>
      <c r="P18" s="4">
        <v>0</v>
      </c>
      <c r="Q18" s="4">
        <v>0</v>
      </c>
      <c r="R18" s="8"/>
      <c r="S18" s="8"/>
      <c r="T18" s="8"/>
      <c r="U18" s="4">
        <v>91</v>
      </c>
      <c r="V18" s="3">
        <v>-4.2000000000000003E-2</v>
      </c>
      <c r="W18" s="3">
        <v>0</v>
      </c>
      <c r="X18" s="3">
        <v>0</v>
      </c>
      <c r="Y18" s="3">
        <v>-7.2999999999999995E-2</v>
      </c>
      <c r="Z18" s="3">
        <v>-7.2999999999999995E-2</v>
      </c>
      <c r="AA18" s="3">
        <v>0</v>
      </c>
      <c r="AB18" s="3">
        <v>-7.2999999999999995E-2</v>
      </c>
      <c r="AC18" s="3">
        <v>-7.2999999999999995E-2</v>
      </c>
      <c r="AD18" s="3">
        <v>0</v>
      </c>
      <c r="AE18" s="8"/>
      <c r="AF18" s="8"/>
      <c r="AG18" s="8"/>
      <c r="AH18" s="3">
        <v>0.13100000000000001</v>
      </c>
      <c r="AI18" s="3">
        <v>0.13500000000000001</v>
      </c>
      <c r="AJ18" s="3">
        <v>-4.0000000000000001E-3</v>
      </c>
      <c r="AK18" s="3">
        <v>0.42799999999999999</v>
      </c>
      <c r="AL18" s="4">
        <v>52</v>
      </c>
    </row>
    <row r="19" spans="1:38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0.877</v>
      </c>
      <c r="F19" s="3">
        <v>1.7999999999999999E-2</v>
      </c>
      <c r="G19" s="3">
        <v>0.23200000000000001</v>
      </c>
      <c r="H19" s="3">
        <v>0.23200000000000001</v>
      </c>
      <c r="I19" s="4">
        <v>1</v>
      </c>
      <c r="J19" s="3">
        <v>-0.5</v>
      </c>
      <c r="K19" s="4">
        <v>109</v>
      </c>
      <c r="L19" s="4">
        <v>-1</v>
      </c>
      <c r="M19" s="4">
        <v>72</v>
      </c>
      <c r="N19" s="4">
        <v>65</v>
      </c>
      <c r="O19" s="3">
        <v>0.109</v>
      </c>
      <c r="P19" s="4">
        <v>15</v>
      </c>
      <c r="Q19" s="4">
        <v>30</v>
      </c>
      <c r="R19" s="3">
        <v>-0.496</v>
      </c>
      <c r="S19" s="4">
        <v>15.07</v>
      </c>
      <c r="T19" s="3">
        <v>8.0000000000000002E-3</v>
      </c>
      <c r="U19" s="4">
        <v>511</v>
      </c>
      <c r="V19" s="3">
        <v>-3.1E-2</v>
      </c>
      <c r="W19" s="3">
        <v>0</v>
      </c>
      <c r="X19" s="3">
        <v>0</v>
      </c>
      <c r="Y19" s="3">
        <v>-8.9999999999999993E-3</v>
      </c>
      <c r="Z19" s="3">
        <v>-8.9999999999999993E-3</v>
      </c>
      <c r="AA19" s="3">
        <v>0</v>
      </c>
      <c r="AB19" s="3">
        <v>-8.9999999999999993E-3</v>
      </c>
      <c r="AC19" s="3">
        <v>-8.9999999999999993E-3</v>
      </c>
      <c r="AD19" s="3">
        <v>0</v>
      </c>
      <c r="AE19" s="3">
        <v>0</v>
      </c>
      <c r="AF19" s="3">
        <v>0</v>
      </c>
      <c r="AG19" s="3">
        <v>0</v>
      </c>
      <c r="AH19" s="3">
        <v>0.23300000000000001</v>
      </c>
      <c r="AI19" s="3">
        <v>0.23400000000000001</v>
      </c>
      <c r="AJ19" s="3">
        <v>-1E-3</v>
      </c>
      <c r="AK19" s="3">
        <v>0.38879999999999998</v>
      </c>
      <c r="AL19" s="4">
        <v>313</v>
      </c>
    </row>
    <row r="20" spans="1:38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0.497</v>
      </c>
      <c r="F20" s="3">
        <v>5.6000000000000001E-2</v>
      </c>
      <c r="G20" s="3">
        <v>1.421</v>
      </c>
      <c r="H20" s="3">
        <v>1.3420000000000001</v>
      </c>
      <c r="I20" s="4">
        <v>3</v>
      </c>
      <c r="J20" s="3">
        <v>0.5</v>
      </c>
      <c r="K20" s="4">
        <v>37</v>
      </c>
      <c r="L20" s="4">
        <v>1</v>
      </c>
      <c r="M20" s="4">
        <v>557</v>
      </c>
      <c r="N20" s="4">
        <v>291</v>
      </c>
      <c r="O20" s="3">
        <v>0.91800000000000004</v>
      </c>
      <c r="P20" s="4">
        <v>413</v>
      </c>
      <c r="Q20" s="4">
        <v>139</v>
      </c>
      <c r="R20" s="3">
        <v>1.9810000000000001</v>
      </c>
      <c r="S20" s="4">
        <v>137.63999999999999</v>
      </c>
      <c r="T20" s="3">
        <v>0.17599999999999999</v>
      </c>
      <c r="U20" s="4">
        <v>1835</v>
      </c>
      <c r="V20" s="3">
        <v>0.27600000000000002</v>
      </c>
      <c r="W20" s="3">
        <v>0</v>
      </c>
      <c r="X20" s="3">
        <v>0</v>
      </c>
      <c r="Y20" s="3">
        <v>9.0999999999999998E-2</v>
      </c>
      <c r="Z20" s="3">
        <v>9.0999999999999998E-2</v>
      </c>
      <c r="AA20" s="3">
        <v>0</v>
      </c>
      <c r="AB20" s="3">
        <v>9.0999999999999998E-2</v>
      </c>
      <c r="AC20" s="3">
        <v>9.0999999999999998E-2</v>
      </c>
      <c r="AD20" s="3">
        <v>0</v>
      </c>
      <c r="AE20" s="3">
        <v>0</v>
      </c>
      <c r="AF20" s="3">
        <v>0</v>
      </c>
      <c r="AG20" s="3">
        <v>0</v>
      </c>
      <c r="AH20" s="3">
        <v>0.29099999999999998</v>
      </c>
      <c r="AI20" s="3">
        <v>0.29199999999999998</v>
      </c>
      <c r="AJ20" s="3">
        <v>0</v>
      </c>
      <c r="AK20" s="3">
        <v>0.45229999999999998</v>
      </c>
      <c r="AL20" s="4">
        <v>1005</v>
      </c>
    </row>
    <row r="21" spans="1:38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1.024</v>
      </c>
      <c r="F21" s="3">
        <v>0</v>
      </c>
      <c r="G21" s="3">
        <v>0</v>
      </c>
      <c r="H21" s="3">
        <v>0</v>
      </c>
      <c r="I21" s="4">
        <v>0</v>
      </c>
      <c r="J21" s="8"/>
      <c r="K21" s="4">
        <v>30</v>
      </c>
      <c r="L21" s="4">
        <v>0</v>
      </c>
      <c r="M21" s="4">
        <v>874</v>
      </c>
      <c r="N21" s="4">
        <v>854</v>
      </c>
      <c r="O21" s="3">
        <v>2.4E-2</v>
      </c>
      <c r="P21" s="4">
        <v>0</v>
      </c>
      <c r="Q21" s="4">
        <v>0</v>
      </c>
      <c r="R21" s="8"/>
      <c r="S21" s="8"/>
      <c r="T21" s="8"/>
      <c r="U21" s="4">
        <v>828</v>
      </c>
      <c r="V21" s="3">
        <v>-7.2999999999999995E-2</v>
      </c>
      <c r="W21" s="3">
        <v>0.12</v>
      </c>
      <c r="X21" s="3">
        <v>0</v>
      </c>
      <c r="Y21" s="3">
        <v>3.9E-2</v>
      </c>
      <c r="Z21" s="3">
        <v>3.9E-2</v>
      </c>
      <c r="AA21" s="3">
        <v>0</v>
      </c>
      <c r="AB21" s="3">
        <v>3.9E-2</v>
      </c>
      <c r="AC21" s="3">
        <v>3.9E-2</v>
      </c>
      <c r="AD21" s="3">
        <v>0</v>
      </c>
      <c r="AE21" s="8"/>
      <c r="AF21" s="8"/>
      <c r="AG21" s="8"/>
      <c r="AH21" s="3">
        <v>0.28899999999999998</v>
      </c>
      <c r="AI21" s="3">
        <v>0.28899999999999998</v>
      </c>
      <c r="AJ21" s="3">
        <v>0</v>
      </c>
      <c r="AK21" s="3">
        <v>0.435</v>
      </c>
      <c r="AL21" s="4">
        <v>468</v>
      </c>
    </row>
    <row r="22" spans="1:38" x14ac:dyDescent="0.25">
      <c r="A22" s="12" t="s">
        <v>37</v>
      </c>
      <c r="B22" s="12" t="s">
        <v>48</v>
      </c>
      <c r="C22" s="5" t="s">
        <v>42</v>
      </c>
      <c r="D22" s="5"/>
      <c r="E22" s="6">
        <v>0.503</v>
      </c>
      <c r="F22" s="6">
        <v>3.6999999999999998E-2</v>
      </c>
      <c r="G22" s="6">
        <v>0.32400000000000001</v>
      </c>
      <c r="H22" s="6">
        <v>0.24399999999999999</v>
      </c>
      <c r="I22" s="7">
        <v>6</v>
      </c>
      <c r="J22" s="6">
        <v>-0.14299999999999999</v>
      </c>
      <c r="K22" s="7">
        <v>189</v>
      </c>
      <c r="L22" s="7">
        <v>-1</v>
      </c>
      <c r="M22" s="7">
        <v>1710</v>
      </c>
      <c r="N22" s="7">
        <v>2069</v>
      </c>
      <c r="O22" s="6">
        <v>-0.17299999999999999</v>
      </c>
      <c r="P22" s="7">
        <v>671</v>
      </c>
      <c r="Q22" s="7">
        <v>963</v>
      </c>
      <c r="R22" s="6">
        <v>-0.30299999999999999</v>
      </c>
      <c r="S22" s="7">
        <v>160.53</v>
      </c>
      <c r="T22" s="6">
        <v>-0.438</v>
      </c>
      <c r="U22" s="7">
        <v>3890</v>
      </c>
      <c r="V22" s="6">
        <v>0.14000000000000001</v>
      </c>
      <c r="W22" s="6">
        <v>2.5999999999999999E-2</v>
      </c>
      <c r="X22" s="6">
        <v>0</v>
      </c>
      <c r="Y22" s="6">
        <v>6.6000000000000003E-2</v>
      </c>
      <c r="Z22" s="6">
        <v>6.7000000000000004E-2</v>
      </c>
      <c r="AA22" s="6">
        <v>-1E-3</v>
      </c>
      <c r="AB22" s="6">
        <v>6.6000000000000003E-2</v>
      </c>
      <c r="AC22" s="6">
        <v>6.7000000000000004E-2</v>
      </c>
      <c r="AD22" s="6">
        <v>-1E-3</v>
      </c>
      <c r="AE22" s="6">
        <v>0</v>
      </c>
      <c r="AF22" s="6">
        <v>0</v>
      </c>
      <c r="AG22" s="6">
        <v>0</v>
      </c>
      <c r="AH22" s="6">
        <v>0.27400000000000002</v>
      </c>
      <c r="AI22" s="6">
        <v>0.28000000000000003</v>
      </c>
      <c r="AJ22" s="6">
        <v>-7.0000000000000001E-3</v>
      </c>
      <c r="AK22" s="6">
        <v>0.4405</v>
      </c>
      <c r="AL22" s="7">
        <v>2177</v>
      </c>
    </row>
    <row r="23" spans="1:38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0.94699999999999995</v>
      </c>
      <c r="F23" s="3">
        <v>5.0999999999999997E-2</v>
      </c>
      <c r="G23" s="3">
        <v>0.44700000000000001</v>
      </c>
      <c r="H23" s="3">
        <v>0.251</v>
      </c>
      <c r="I23" s="4">
        <v>7</v>
      </c>
      <c r="J23" s="3">
        <v>1.333</v>
      </c>
      <c r="K23" s="4">
        <v>63</v>
      </c>
      <c r="L23" s="4">
        <v>4</v>
      </c>
      <c r="M23" s="4">
        <v>8955</v>
      </c>
      <c r="N23" s="4">
        <v>6425</v>
      </c>
      <c r="O23" s="3">
        <v>0.39400000000000002</v>
      </c>
      <c r="P23" s="4">
        <v>2872</v>
      </c>
      <c r="Q23" s="4">
        <v>1214</v>
      </c>
      <c r="R23" s="3">
        <v>1.365</v>
      </c>
      <c r="S23" s="4">
        <v>410.26</v>
      </c>
      <c r="T23" s="3">
        <v>1.2999999999999999E-2</v>
      </c>
      <c r="U23" s="4">
        <v>7853</v>
      </c>
      <c r="V23" s="3">
        <v>0.129</v>
      </c>
      <c r="W23" s="3">
        <v>1E-3</v>
      </c>
      <c r="X23" s="3">
        <v>0.53100000000000003</v>
      </c>
      <c r="Y23" s="3">
        <v>0.50700000000000001</v>
      </c>
      <c r="Z23" s="3">
        <v>0.157</v>
      </c>
      <c r="AA23" s="3">
        <v>0.34899999999999998</v>
      </c>
      <c r="AB23" s="3">
        <v>0.50700000000000001</v>
      </c>
      <c r="AC23" s="3">
        <v>0.157</v>
      </c>
      <c r="AD23" s="3">
        <v>0.34899999999999998</v>
      </c>
      <c r="AE23" s="3">
        <v>0.123</v>
      </c>
      <c r="AF23" s="3">
        <v>0</v>
      </c>
      <c r="AG23" s="3">
        <v>0.123</v>
      </c>
      <c r="AH23" s="3">
        <v>0.621</v>
      </c>
      <c r="AI23" s="3">
        <v>0.28599999999999998</v>
      </c>
      <c r="AJ23" s="3">
        <v>0.33400000000000002</v>
      </c>
      <c r="AK23" s="3">
        <v>0.78359999999999996</v>
      </c>
      <c r="AL23" s="4">
        <v>1699</v>
      </c>
    </row>
    <row r="24" spans="1:38" x14ac:dyDescent="0.25">
      <c r="A24" s="12" t="s">
        <v>37</v>
      </c>
      <c r="B24" s="12" t="s">
        <v>59</v>
      </c>
      <c r="C24" s="5" t="s">
        <v>42</v>
      </c>
      <c r="D24" s="5"/>
      <c r="E24" s="6">
        <v>0.94699999999999995</v>
      </c>
      <c r="F24" s="6">
        <v>5.0999999999999997E-2</v>
      </c>
      <c r="G24" s="6">
        <v>0.44700000000000001</v>
      </c>
      <c r="H24" s="6">
        <v>0.251</v>
      </c>
      <c r="I24" s="7">
        <v>7</v>
      </c>
      <c r="J24" s="6">
        <v>1.333</v>
      </c>
      <c r="K24" s="7">
        <v>63</v>
      </c>
      <c r="L24" s="7">
        <v>4</v>
      </c>
      <c r="M24" s="7">
        <v>8955</v>
      </c>
      <c r="N24" s="7">
        <v>6425</v>
      </c>
      <c r="O24" s="6">
        <v>0.39400000000000002</v>
      </c>
      <c r="P24" s="7">
        <v>2872</v>
      </c>
      <c r="Q24" s="7">
        <v>1214</v>
      </c>
      <c r="R24" s="6">
        <v>1.365</v>
      </c>
      <c r="S24" s="7">
        <v>410.26</v>
      </c>
      <c r="T24" s="6">
        <v>1.2999999999999999E-2</v>
      </c>
      <c r="U24" s="7">
        <v>7853</v>
      </c>
      <c r="V24" s="6">
        <v>0.129</v>
      </c>
      <c r="W24" s="6">
        <v>1E-3</v>
      </c>
      <c r="X24" s="6">
        <v>0.53100000000000003</v>
      </c>
      <c r="Y24" s="6">
        <v>0.50700000000000001</v>
      </c>
      <c r="Z24" s="6">
        <v>0.157</v>
      </c>
      <c r="AA24" s="6">
        <v>0.34899999999999998</v>
      </c>
      <c r="AB24" s="6">
        <v>0.50700000000000001</v>
      </c>
      <c r="AC24" s="6">
        <v>0.157</v>
      </c>
      <c r="AD24" s="6">
        <v>0.34899999999999998</v>
      </c>
      <c r="AE24" s="6">
        <v>0.123</v>
      </c>
      <c r="AF24" s="6">
        <v>0</v>
      </c>
      <c r="AG24" s="6">
        <v>0.123</v>
      </c>
      <c r="AH24" s="6">
        <v>0.621</v>
      </c>
      <c r="AI24" s="6">
        <v>0.28599999999999998</v>
      </c>
      <c r="AJ24" s="6">
        <v>0.33400000000000002</v>
      </c>
      <c r="AK24" s="6">
        <v>0.78359999999999996</v>
      </c>
      <c r="AL24" s="7">
        <v>1699</v>
      </c>
    </row>
    <row r="25" spans="1:38" x14ac:dyDescent="0.25">
      <c r="A25" s="12" t="s">
        <v>37</v>
      </c>
      <c r="B25" s="5" t="s">
        <v>42</v>
      </c>
      <c r="C25" s="5"/>
      <c r="D25" s="5"/>
      <c r="E25" s="6">
        <v>0.96699999999999997</v>
      </c>
      <c r="F25" s="6">
        <v>3.3000000000000002E-2</v>
      </c>
      <c r="G25" s="6">
        <v>9.4E-2</v>
      </c>
      <c r="H25" s="6">
        <v>6.2E-2</v>
      </c>
      <c r="I25" s="7">
        <v>148</v>
      </c>
      <c r="J25" s="6">
        <v>0.17499999999999999</v>
      </c>
      <c r="K25" s="7">
        <v>3640</v>
      </c>
      <c r="L25" s="7">
        <v>29</v>
      </c>
      <c r="M25" s="7">
        <v>404497</v>
      </c>
      <c r="N25" s="7">
        <v>381424</v>
      </c>
      <c r="O25" s="6">
        <v>0.06</v>
      </c>
      <c r="P25" s="7">
        <v>35768</v>
      </c>
      <c r="Q25" s="7">
        <v>35594</v>
      </c>
      <c r="R25" s="6">
        <v>5.0000000000000001E-3</v>
      </c>
      <c r="S25" s="7">
        <v>251.4</v>
      </c>
      <c r="T25" s="6">
        <v>-0.17699999999999999</v>
      </c>
      <c r="U25" s="7">
        <v>281616</v>
      </c>
      <c r="V25" s="6">
        <v>2.8000000000000001E-2</v>
      </c>
      <c r="W25" s="6">
        <v>6.0000000000000001E-3</v>
      </c>
      <c r="X25" s="6">
        <v>0.71399999999999997</v>
      </c>
      <c r="Y25" s="6">
        <v>0.74199999999999999</v>
      </c>
      <c r="Z25" s="6">
        <v>0.51900000000000002</v>
      </c>
      <c r="AA25" s="6">
        <v>0.223</v>
      </c>
      <c r="AB25" s="6">
        <v>0.74199999999999999</v>
      </c>
      <c r="AC25" s="6">
        <v>0.51600000000000001</v>
      </c>
      <c r="AD25" s="6">
        <v>0.22500000000000001</v>
      </c>
      <c r="AE25" s="6">
        <v>1.7490000000000001</v>
      </c>
      <c r="AF25" s="6">
        <v>0.65200000000000002</v>
      </c>
      <c r="AG25" s="6">
        <v>1.097</v>
      </c>
      <c r="AH25" s="6">
        <v>0.85199999999999998</v>
      </c>
      <c r="AI25" s="6">
        <v>0.63</v>
      </c>
      <c r="AJ25" s="6">
        <v>0.223</v>
      </c>
      <c r="AK25" s="6">
        <v>1.0238</v>
      </c>
      <c r="AL25" s="7">
        <v>-6704</v>
      </c>
    </row>
    <row r="26" spans="1:38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0.84699999999999998</v>
      </c>
      <c r="F26" s="3">
        <v>3.4000000000000002E-2</v>
      </c>
      <c r="G26" s="3">
        <v>1.4999999999999999E-2</v>
      </c>
      <c r="H26" s="3">
        <v>0</v>
      </c>
      <c r="I26" s="4">
        <v>1</v>
      </c>
      <c r="J26" s="3">
        <v>-0.83299999999999996</v>
      </c>
      <c r="K26" s="4">
        <v>85</v>
      </c>
      <c r="L26" s="4">
        <v>-2</v>
      </c>
      <c r="M26" s="4">
        <v>1918</v>
      </c>
      <c r="N26" s="4">
        <v>2223</v>
      </c>
      <c r="O26" s="3">
        <v>-0.13700000000000001</v>
      </c>
      <c r="P26" s="4">
        <v>34</v>
      </c>
      <c r="Q26" s="4">
        <v>764</v>
      </c>
      <c r="R26" s="3">
        <v>-0.95599999999999996</v>
      </c>
      <c r="S26" s="4">
        <v>33.92</v>
      </c>
      <c r="T26" s="3">
        <v>-0.77</v>
      </c>
      <c r="U26" s="4">
        <v>1967</v>
      </c>
      <c r="V26" s="3">
        <v>-0.224</v>
      </c>
      <c r="W26" s="3">
        <v>0</v>
      </c>
      <c r="X26" s="3">
        <v>0</v>
      </c>
      <c r="Y26" s="3">
        <v>0.14599999999999999</v>
      </c>
      <c r="Z26" s="3">
        <v>0.14599999999999999</v>
      </c>
      <c r="AA26" s="3">
        <v>0</v>
      </c>
      <c r="AB26" s="3">
        <v>0.14599999999999999</v>
      </c>
      <c r="AC26" s="3">
        <v>0.14599999999999999</v>
      </c>
      <c r="AD26" s="3">
        <v>0</v>
      </c>
      <c r="AE26" s="3">
        <v>0</v>
      </c>
      <c r="AF26" s="3">
        <v>0</v>
      </c>
      <c r="AG26" s="3">
        <v>0</v>
      </c>
      <c r="AH26" s="3">
        <v>0.33800000000000002</v>
      </c>
      <c r="AI26" s="3">
        <v>0.33</v>
      </c>
      <c r="AJ26" s="3">
        <v>8.0000000000000002E-3</v>
      </c>
      <c r="AK26" s="3">
        <v>0.4995</v>
      </c>
      <c r="AL26" s="4">
        <v>985</v>
      </c>
    </row>
    <row r="27" spans="1:38" x14ac:dyDescent="0.25">
      <c r="A27" s="12" t="s">
        <v>61</v>
      </c>
      <c r="B27" s="12" t="s">
        <v>39</v>
      </c>
      <c r="C27" s="5" t="s">
        <v>42</v>
      </c>
      <c r="D27" s="5"/>
      <c r="E27" s="6">
        <v>0.84699999999999998</v>
      </c>
      <c r="F27" s="6">
        <v>3.4000000000000002E-2</v>
      </c>
      <c r="G27" s="6">
        <v>1.4999999999999999E-2</v>
      </c>
      <c r="H27" s="6">
        <v>0</v>
      </c>
      <c r="I27" s="7">
        <v>1</v>
      </c>
      <c r="J27" s="6">
        <v>-0.83299999999999996</v>
      </c>
      <c r="K27" s="7">
        <v>85</v>
      </c>
      <c r="L27" s="7">
        <v>-2</v>
      </c>
      <c r="M27" s="7">
        <v>1918</v>
      </c>
      <c r="N27" s="7">
        <v>2223</v>
      </c>
      <c r="O27" s="6">
        <v>-0.13700000000000001</v>
      </c>
      <c r="P27" s="7">
        <v>34</v>
      </c>
      <c r="Q27" s="7">
        <v>764</v>
      </c>
      <c r="R27" s="6">
        <v>-0.95599999999999996</v>
      </c>
      <c r="S27" s="7">
        <v>33.92</v>
      </c>
      <c r="T27" s="6">
        <v>-0.77</v>
      </c>
      <c r="U27" s="7">
        <v>1967</v>
      </c>
      <c r="V27" s="6">
        <v>-0.224</v>
      </c>
      <c r="W27" s="6">
        <v>0</v>
      </c>
      <c r="X27" s="6">
        <v>0</v>
      </c>
      <c r="Y27" s="6">
        <v>0.14599999999999999</v>
      </c>
      <c r="Z27" s="6">
        <v>0.14599999999999999</v>
      </c>
      <c r="AA27" s="6">
        <v>0</v>
      </c>
      <c r="AB27" s="6">
        <v>0.14599999999999999</v>
      </c>
      <c r="AC27" s="6">
        <v>0.14599999999999999</v>
      </c>
      <c r="AD27" s="6">
        <v>0</v>
      </c>
      <c r="AE27" s="6">
        <v>0</v>
      </c>
      <c r="AF27" s="6">
        <v>0</v>
      </c>
      <c r="AG27" s="6">
        <v>0</v>
      </c>
      <c r="AH27" s="6">
        <v>0.33800000000000002</v>
      </c>
      <c r="AI27" s="6">
        <v>0.33</v>
      </c>
      <c r="AJ27" s="6">
        <v>8.0000000000000002E-3</v>
      </c>
      <c r="AK27" s="6">
        <v>0.4995</v>
      </c>
      <c r="AL27" s="7">
        <v>985</v>
      </c>
    </row>
    <row r="28" spans="1:38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0.109</v>
      </c>
      <c r="F28" s="3">
        <v>4.8000000000000001E-2</v>
      </c>
      <c r="G28" s="3">
        <v>1.611</v>
      </c>
      <c r="H28" s="3">
        <v>1.611</v>
      </c>
      <c r="I28" s="4">
        <v>11</v>
      </c>
      <c r="J28" s="3">
        <v>0.1</v>
      </c>
      <c r="K28" s="4">
        <v>70</v>
      </c>
      <c r="L28" s="4">
        <v>8</v>
      </c>
      <c r="M28" s="4">
        <v>6427</v>
      </c>
      <c r="N28" s="4">
        <v>3735</v>
      </c>
      <c r="O28" s="3">
        <v>0.72</v>
      </c>
      <c r="P28" s="4">
        <v>6019</v>
      </c>
      <c r="Q28" s="4">
        <v>4535</v>
      </c>
      <c r="R28" s="3">
        <v>0.32700000000000001</v>
      </c>
      <c r="S28" s="4">
        <v>547.17999999999995</v>
      </c>
      <c r="T28" s="3">
        <v>0.20699999999999999</v>
      </c>
      <c r="U28" s="4">
        <v>6693</v>
      </c>
      <c r="V28" s="3">
        <v>-0.23799999999999999</v>
      </c>
      <c r="W28" s="3">
        <v>0</v>
      </c>
      <c r="X28" s="3">
        <v>4.7E-2</v>
      </c>
      <c r="Y28" s="3">
        <v>9.5000000000000001E-2</v>
      </c>
      <c r="Z28" s="3">
        <v>0.60199999999999998</v>
      </c>
      <c r="AA28" s="3">
        <v>-0.50600000000000001</v>
      </c>
      <c r="AB28" s="3">
        <v>9.5000000000000001E-2</v>
      </c>
      <c r="AC28" s="3">
        <v>0.60199999999999998</v>
      </c>
      <c r="AD28" s="3">
        <v>-0.50600000000000001</v>
      </c>
      <c r="AE28" s="3">
        <v>0</v>
      </c>
      <c r="AF28" s="3">
        <v>0</v>
      </c>
      <c r="AG28" s="3">
        <v>0</v>
      </c>
      <c r="AH28" s="3">
        <v>0.16500000000000001</v>
      </c>
      <c r="AI28" s="3">
        <v>0.67200000000000004</v>
      </c>
      <c r="AJ28" s="3">
        <v>-0.50700000000000001</v>
      </c>
      <c r="AK28" s="3">
        <v>0.40649999999999997</v>
      </c>
      <c r="AL28" s="4">
        <v>3972</v>
      </c>
    </row>
    <row r="29" spans="1:38" x14ac:dyDescent="0.25">
      <c r="A29" s="12" t="s">
        <v>61</v>
      </c>
      <c r="B29" s="12" t="s">
        <v>43</v>
      </c>
      <c r="C29" s="5" t="s">
        <v>42</v>
      </c>
      <c r="D29" s="5"/>
      <c r="E29" s="6">
        <v>0.109</v>
      </c>
      <c r="F29" s="6">
        <v>4.8000000000000001E-2</v>
      </c>
      <c r="G29" s="6">
        <v>1.611</v>
      </c>
      <c r="H29" s="6">
        <v>1.611</v>
      </c>
      <c r="I29" s="7">
        <v>11</v>
      </c>
      <c r="J29" s="6">
        <v>0.1</v>
      </c>
      <c r="K29" s="7">
        <v>70</v>
      </c>
      <c r="L29" s="7">
        <v>8</v>
      </c>
      <c r="M29" s="7">
        <v>6427</v>
      </c>
      <c r="N29" s="7">
        <v>3735</v>
      </c>
      <c r="O29" s="6">
        <v>0.72</v>
      </c>
      <c r="P29" s="7">
        <v>6019</v>
      </c>
      <c r="Q29" s="7">
        <v>4535</v>
      </c>
      <c r="R29" s="6">
        <v>0.32700000000000001</v>
      </c>
      <c r="S29" s="7">
        <v>547.17999999999995</v>
      </c>
      <c r="T29" s="6">
        <v>0.20699999999999999</v>
      </c>
      <c r="U29" s="7">
        <v>6693</v>
      </c>
      <c r="V29" s="6">
        <v>-0.23799999999999999</v>
      </c>
      <c r="W29" s="6">
        <v>0</v>
      </c>
      <c r="X29" s="6">
        <v>4.7E-2</v>
      </c>
      <c r="Y29" s="6">
        <v>9.5000000000000001E-2</v>
      </c>
      <c r="Z29" s="6">
        <v>0.60199999999999998</v>
      </c>
      <c r="AA29" s="6">
        <v>-0.50600000000000001</v>
      </c>
      <c r="AB29" s="6">
        <v>9.5000000000000001E-2</v>
      </c>
      <c r="AC29" s="6">
        <v>0.60199999999999998</v>
      </c>
      <c r="AD29" s="6">
        <v>-0.50600000000000001</v>
      </c>
      <c r="AE29" s="6">
        <v>0</v>
      </c>
      <c r="AF29" s="6">
        <v>0</v>
      </c>
      <c r="AG29" s="6">
        <v>0</v>
      </c>
      <c r="AH29" s="6">
        <v>0.16500000000000001</v>
      </c>
      <c r="AI29" s="6">
        <v>0.67200000000000004</v>
      </c>
      <c r="AJ29" s="6">
        <v>-0.50700000000000001</v>
      </c>
      <c r="AK29" s="6">
        <v>0.40649999999999997</v>
      </c>
      <c r="AL29" s="7">
        <v>3972</v>
      </c>
    </row>
    <row r="30" spans="1:38" x14ac:dyDescent="0.25">
      <c r="A30" s="12" t="s">
        <v>61</v>
      </c>
      <c r="B30" s="12" t="s">
        <v>64</v>
      </c>
      <c r="C30" s="2" t="s">
        <v>65</v>
      </c>
      <c r="D30" s="2" t="s">
        <v>65</v>
      </c>
      <c r="E30" s="3">
        <v>0.91500000000000004</v>
      </c>
      <c r="F30" s="3">
        <v>8.2000000000000003E-2</v>
      </c>
      <c r="G30" s="3">
        <v>0.218</v>
      </c>
      <c r="H30" s="3">
        <v>0.218</v>
      </c>
      <c r="I30" s="4">
        <v>2</v>
      </c>
      <c r="J30" s="3">
        <v>0</v>
      </c>
      <c r="K30" s="4">
        <v>47</v>
      </c>
      <c r="L30" s="4">
        <v>-2</v>
      </c>
      <c r="M30" s="4">
        <v>5389</v>
      </c>
      <c r="N30" s="4">
        <v>4757</v>
      </c>
      <c r="O30" s="3">
        <v>0.13300000000000001</v>
      </c>
      <c r="P30" s="4">
        <v>1038</v>
      </c>
      <c r="Q30" s="4">
        <v>1400</v>
      </c>
      <c r="R30" s="3">
        <v>-0.25900000000000001</v>
      </c>
      <c r="S30" s="4">
        <v>518.79999999999995</v>
      </c>
      <c r="T30" s="3">
        <v>-0.25900000000000001</v>
      </c>
      <c r="U30" s="4">
        <v>12849</v>
      </c>
      <c r="V30" s="3">
        <v>-7.0999999999999994E-2</v>
      </c>
      <c r="W30" s="3">
        <v>8.0000000000000002E-3</v>
      </c>
      <c r="X30" s="3">
        <v>2.7090000000000001</v>
      </c>
      <c r="Y30" s="3">
        <v>2.855</v>
      </c>
      <c r="Z30" s="3">
        <v>0.72799999999999998</v>
      </c>
      <c r="AA30" s="3">
        <v>2.1269999999999998</v>
      </c>
      <c r="AB30" s="3">
        <v>2.855</v>
      </c>
      <c r="AC30" s="3">
        <v>0.72499999999999998</v>
      </c>
      <c r="AD30" s="3">
        <v>2.13</v>
      </c>
      <c r="AE30" s="3">
        <v>0</v>
      </c>
      <c r="AF30" s="3">
        <v>14.074999999999999</v>
      </c>
      <c r="AG30" s="3">
        <v>-14.074999999999999</v>
      </c>
      <c r="AH30" s="3">
        <v>3.0569999999999999</v>
      </c>
      <c r="AI30" s="3">
        <v>0.93</v>
      </c>
      <c r="AJ30" s="3">
        <v>2.1269999999999998</v>
      </c>
      <c r="AK30" s="3">
        <v>3.1890000000000001</v>
      </c>
      <c r="AL30" s="4">
        <v>-28126</v>
      </c>
    </row>
    <row r="31" spans="1:38" x14ac:dyDescent="0.25">
      <c r="A31" s="12" t="s">
        <v>61</v>
      </c>
      <c r="B31" s="12" t="s">
        <v>64</v>
      </c>
      <c r="C31" s="5" t="s">
        <v>42</v>
      </c>
      <c r="D31" s="5"/>
      <c r="E31" s="6">
        <v>0.91500000000000004</v>
      </c>
      <c r="F31" s="6">
        <v>8.2000000000000003E-2</v>
      </c>
      <c r="G31" s="6">
        <v>0.218</v>
      </c>
      <c r="H31" s="6">
        <v>0.218</v>
      </c>
      <c r="I31" s="7">
        <v>2</v>
      </c>
      <c r="J31" s="6">
        <v>0</v>
      </c>
      <c r="K31" s="7">
        <v>47</v>
      </c>
      <c r="L31" s="7">
        <v>-2</v>
      </c>
      <c r="M31" s="7">
        <v>5389</v>
      </c>
      <c r="N31" s="7">
        <v>4757</v>
      </c>
      <c r="O31" s="6">
        <v>0.13300000000000001</v>
      </c>
      <c r="P31" s="7">
        <v>1038</v>
      </c>
      <c r="Q31" s="7">
        <v>1400</v>
      </c>
      <c r="R31" s="6">
        <v>-0.25900000000000001</v>
      </c>
      <c r="S31" s="7">
        <v>518.79999999999995</v>
      </c>
      <c r="T31" s="6">
        <v>-0.25900000000000001</v>
      </c>
      <c r="U31" s="7">
        <v>12849</v>
      </c>
      <c r="V31" s="6">
        <v>-7.0999999999999994E-2</v>
      </c>
      <c r="W31" s="6">
        <v>8.0000000000000002E-3</v>
      </c>
      <c r="X31" s="6">
        <v>2.7090000000000001</v>
      </c>
      <c r="Y31" s="6">
        <v>2.855</v>
      </c>
      <c r="Z31" s="6">
        <v>0.72799999999999998</v>
      </c>
      <c r="AA31" s="6">
        <v>2.1269999999999998</v>
      </c>
      <c r="AB31" s="6">
        <v>2.855</v>
      </c>
      <c r="AC31" s="6">
        <v>0.72499999999999998</v>
      </c>
      <c r="AD31" s="6">
        <v>2.13</v>
      </c>
      <c r="AE31" s="6">
        <v>0</v>
      </c>
      <c r="AF31" s="6">
        <v>14.074999999999999</v>
      </c>
      <c r="AG31" s="6">
        <v>-14.074999999999999</v>
      </c>
      <c r="AH31" s="6">
        <v>3.0569999999999999</v>
      </c>
      <c r="AI31" s="6">
        <v>0.93</v>
      </c>
      <c r="AJ31" s="6">
        <v>2.1269999999999998</v>
      </c>
      <c r="AK31" s="6">
        <v>3.1890000000000001</v>
      </c>
      <c r="AL31" s="7">
        <v>-28126</v>
      </c>
    </row>
    <row r="32" spans="1:38" x14ac:dyDescent="0.25">
      <c r="A32" s="12" t="s">
        <v>61</v>
      </c>
      <c r="B32" s="12" t="s">
        <v>66</v>
      </c>
      <c r="C32" s="2" t="s">
        <v>55</v>
      </c>
      <c r="D32" s="2" t="s">
        <v>67</v>
      </c>
      <c r="E32" s="3">
        <v>0.94799999999999995</v>
      </c>
      <c r="F32" s="3">
        <v>2.1000000000000001E-2</v>
      </c>
      <c r="G32" s="3">
        <v>0.20100000000000001</v>
      </c>
      <c r="H32" s="3">
        <v>0.20100000000000001</v>
      </c>
      <c r="I32" s="4">
        <v>1</v>
      </c>
      <c r="J32" s="3">
        <v>-0.66700000000000004</v>
      </c>
      <c r="K32" s="4">
        <v>48</v>
      </c>
      <c r="L32" s="4">
        <v>0</v>
      </c>
      <c r="M32" s="4">
        <v>9980</v>
      </c>
      <c r="N32" s="4">
        <v>8684</v>
      </c>
      <c r="O32" s="3">
        <v>0.14899999999999999</v>
      </c>
      <c r="P32" s="4">
        <v>1743</v>
      </c>
      <c r="Q32" s="4">
        <v>1538</v>
      </c>
      <c r="R32" s="3">
        <v>0.13300000000000001</v>
      </c>
      <c r="S32" s="4">
        <v>1743.17</v>
      </c>
      <c r="T32" s="3">
        <v>2.4</v>
      </c>
      <c r="U32" s="4">
        <v>14217</v>
      </c>
      <c r="V32" s="3">
        <v>-2.3E-2</v>
      </c>
      <c r="W32" s="3">
        <v>0</v>
      </c>
      <c r="X32" s="3">
        <v>0</v>
      </c>
      <c r="Y32" s="3">
        <v>0.35799999999999998</v>
      </c>
      <c r="Z32" s="3">
        <v>0.46100000000000002</v>
      </c>
      <c r="AA32" s="3">
        <v>-0.10299999999999999</v>
      </c>
      <c r="AB32" s="3">
        <v>0.35799999999999998</v>
      </c>
      <c r="AC32" s="3">
        <v>0.46100000000000002</v>
      </c>
      <c r="AD32" s="3">
        <v>-0.10299999999999999</v>
      </c>
      <c r="AE32" s="3">
        <v>0</v>
      </c>
      <c r="AF32" s="3">
        <v>0</v>
      </c>
      <c r="AG32" s="3">
        <v>0</v>
      </c>
      <c r="AH32" s="3">
        <v>0.56100000000000005</v>
      </c>
      <c r="AI32" s="3">
        <v>0.65700000000000003</v>
      </c>
      <c r="AJ32" s="3">
        <v>-9.7000000000000003E-2</v>
      </c>
      <c r="AK32" s="3">
        <v>0.67530000000000001</v>
      </c>
      <c r="AL32" s="4">
        <v>4617</v>
      </c>
    </row>
    <row r="33" spans="1:38" x14ac:dyDescent="0.25">
      <c r="A33" s="12" t="s">
        <v>61</v>
      </c>
      <c r="B33" s="12" t="s">
        <v>66</v>
      </c>
      <c r="C33" s="5" t="s">
        <v>42</v>
      </c>
      <c r="D33" s="5"/>
      <c r="E33" s="6">
        <v>0.94799999999999995</v>
      </c>
      <c r="F33" s="6">
        <v>2.1000000000000001E-2</v>
      </c>
      <c r="G33" s="6">
        <v>0.20100000000000001</v>
      </c>
      <c r="H33" s="6">
        <v>0.20100000000000001</v>
      </c>
      <c r="I33" s="7">
        <v>1</v>
      </c>
      <c r="J33" s="6">
        <v>-0.66700000000000004</v>
      </c>
      <c r="K33" s="7">
        <v>48</v>
      </c>
      <c r="L33" s="7">
        <v>0</v>
      </c>
      <c r="M33" s="7">
        <v>9980</v>
      </c>
      <c r="N33" s="7">
        <v>8684</v>
      </c>
      <c r="O33" s="6">
        <v>0.14899999999999999</v>
      </c>
      <c r="P33" s="7">
        <v>1743</v>
      </c>
      <c r="Q33" s="7">
        <v>1538</v>
      </c>
      <c r="R33" s="6">
        <v>0.13300000000000001</v>
      </c>
      <c r="S33" s="7">
        <v>1743.17</v>
      </c>
      <c r="T33" s="6">
        <v>2.4</v>
      </c>
      <c r="U33" s="7">
        <v>14217</v>
      </c>
      <c r="V33" s="6">
        <v>-2.3E-2</v>
      </c>
      <c r="W33" s="6">
        <v>0</v>
      </c>
      <c r="X33" s="6">
        <v>0</v>
      </c>
      <c r="Y33" s="6">
        <v>0.35799999999999998</v>
      </c>
      <c r="Z33" s="6">
        <v>0.46100000000000002</v>
      </c>
      <c r="AA33" s="6">
        <v>-0.10299999999999999</v>
      </c>
      <c r="AB33" s="6">
        <v>0.35799999999999998</v>
      </c>
      <c r="AC33" s="6">
        <v>0.46100000000000002</v>
      </c>
      <c r="AD33" s="6">
        <v>-0.10299999999999999</v>
      </c>
      <c r="AE33" s="6">
        <v>0</v>
      </c>
      <c r="AF33" s="6">
        <v>0</v>
      </c>
      <c r="AG33" s="6">
        <v>0</v>
      </c>
      <c r="AH33" s="6">
        <v>0.56100000000000005</v>
      </c>
      <c r="AI33" s="6">
        <v>0.65700000000000003</v>
      </c>
      <c r="AJ33" s="6">
        <v>-9.7000000000000003E-2</v>
      </c>
      <c r="AK33" s="6">
        <v>0.67530000000000001</v>
      </c>
      <c r="AL33" s="7">
        <v>4617</v>
      </c>
    </row>
    <row r="34" spans="1:38" x14ac:dyDescent="0.25">
      <c r="A34" s="12" t="s">
        <v>61</v>
      </c>
      <c r="B34" s="12" t="s">
        <v>68</v>
      </c>
      <c r="C34" s="2" t="s">
        <v>69</v>
      </c>
      <c r="D34" s="2" t="s">
        <v>70</v>
      </c>
      <c r="E34" s="3">
        <v>1</v>
      </c>
      <c r="F34" s="3">
        <v>0</v>
      </c>
      <c r="G34" s="3">
        <v>0</v>
      </c>
      <c r="H34" s="3">
        <v>0</v>
      </c>
      <c r="I34" s="4">
        <v>0</v>
      </c>
      <c r="J34" s="3">
        <v>-1</v>
      </c>
      <c r="K34" s="4">
        <v>14</v>
      </c>
      <c r="L34" s="4">
        <v>0</v>
      </c>
      <c r="M34" s="4">
        <v>1124</v>
      </c>
      <c r="N34" s="4">
        <v>1123</v>
      </c>
      <c r="O34" s="3">
        <v>0</v>
      </c>
      <c r="P34" s="4">
        <v>0</v>
      </c>
      <c r="Q34" s="4">
        <v>350</v>
      </c>
      <c r="R34" s="3">
        <v>-1</v>
      </c>
      <c r="S34" s="8"/>
      <c r="T34" s="8"/>
      <c r="U34" s="4">
        <v>1644</v>
      </c>
      <c r="V34" s="3">
        <v>5.0000000000000001E-3</v>
      </c>
      <c r="W34" s="3">
        <v>0</v>
      </c>
      <c r="X34" s="3">
        <v>0</v>
      </c>
      <c r="Y34" s="3">
        <v>8.2000000000000003E-2</v>
      </c>
      <c r="Z34" s="3">
        <v>8.2000000000000003E-2</v>
      </c>
      <c r="AA34" s="3">
        <v>0</v>
      </c>
      <c r="AB34" s="3">
        <v>8.2000000000000003E-2</v>
      </c>
      <c r="AC34" s="3">
        <v>8.2000000000000003E-2</v>
      </c>
      <c r="AD34" s="3">
        <v>0</v>
      </c>
      <c r="AE34" s="8"/>
      <c r="AF34" s="3">
        <v>0</v>
      </c>
      <c r="AG34" s="8"/>
      <c r="AH34" s="3">
        <v>0.23300000000000001</v>
      </c>
      <c r="AI34" s="3">
        <v>0.23200000000000001</v>
      </c>
      <c r="AJ34" s="3">
        <v>1E-3</v>
      </c>
      <c r="AK34" s="3">
        <v>0.45929999999999999</v>
      </c>
      <c r="AL34" s="4">
        <v>889</v>
      </c>
    </row>
    <row r="35" spans="1:38" x14ac:dyDescent="0.25">
      <c r="A35" s="12" t="s">
        <v>61</v>
      </c>
      <c r="B35" s="12" t="s">
        <v>68</v>
      </c>
      <c r="C35" s="5" t="s">
        <v>42</v>
      </c>
      <c r="D35" s="5"/>
      <c r="E35" s="6">
        <v>1</v>
      </c>
      <c r="F35" s="6">
        <v>0</v>
      </c>
      <c r="G35" s="6">
        <v>0</v>
      </c>
      <c r="H35" s="6">
        <v>0</v>
      </c>
      <c r="I35" s="7">
        <v>0</v>
      </c>
      <c r="J35" s="6">
        <v>-1</v>
      </c>
      <c r="K35" s="7">
        <v>14</v>
      </c>
      <c r="L35" s="7">
        <v>0</v>
      </c>
      <c r="M35" s="7">
        <v>1124</v>
      </c>
      <c r="N35" s="7">
        <v>1123</v>
      </c>
      <c r="O35" s="6">
        <v>0</v>
      </c>
      <c r="P35" s="7">
        <v>0</v>
      </c>
      <c r="Q35" s="7">
        <v>350</v>
      </c>
      <c r="R35" s="6">
        <v>-1</v>
      </c>
      <c r="S35" s="5"/>
      <c r="T35" s="5"/>
      <c r="U35" s="7">
        <v>1644</v>
      </c>
      <c r="V35" s="6">
        <v>5.0000000000000001E-3</v>
      </c>
      <c r="W35" s="6">
        <v>0</v>
      </c>
      <c r="X35" s="6">
        <v>0</v>
      </c>
      <c r="Y35" s="6">
        <v>8.2000000000000003E-2</v>
      </c>
      <c r="Z35" s="6">
        <v>8.2000000000000003E-2</v>
      </c>
      <c r="AA35" s="6">
        <v>0</v>
      </c>
      <c r="AB35" s="6">
        <v>8.2000000000000003E-2</v>
      </c>
      <c r="AC35" s="6">
        <v>8.2000000000000003E-2</v>
      </c>
      <c r="AD35" s="6">
        <v>0</v>
      </c>
      <c r="AE35" s="5"/>
      <c r="AF35" s="6">
        <v>0</v>
      </c>
      <c r="AG35" s="5"/>
      <c r="AH35" s="6">
        <v>0.23300000000000001</v>
      </c>
      <c r="AI35" s="6">
        <v>0.23200000000000001</v>
      </c>
      <c r="AJ35" s="6">
        <v>1E-3</v>
      </c>
      <c r="AK35" s="6">
        <v>0.45929999999999999</v>
      </c>
      <c r="AL35" s="7">
        <v>889</v>
      </c>
    </row>
    <row r="36" spans="1:38" x14ac:dyDescent="0.25">
      <c r="A36" s="12" t="s">
        <v>61</v>
      </c>
      <c r="B36" s="12" t="s">
        <v>46</v>
      </c>
      <c r="C36" s="2" t="s">
        <v>71</v>
      </c>
      <c r="D36" s="2" t="s">
        <v>71</v>
      </c>
      <c r="E36" s="3">
        <v>1.103</v>
      </c>
      <c r="F36" s="3">
        <v>0</v>
      </c>
      <c r="G36" s="3">
        <v>3.9E-2</v>
      </c>
      <c r="H36" s="3">
        <v>0</v>
      </c>
      <c r="I36" s="4">
        <v>1</v>
      </c>
      <c r="J36" s="3">
        <v>-0.75</v>
      </c>
      <c r="K36" s="4">
        <v>67</v>
      </c>
      <c r="L36" s="4">
        <v>1</v>
      </c>
      <c r="M36" s="4">
        <v>7579</v>
      </c>
      <c r="N36" s="4">
        <v>6635</v>
      </c>
      <c r="O36" s="3">
        <v>0.14199999999999999</v>
      </c>
      <c r="P36" s="4">
        <v>262</v>
      </c>
      <c r="Q36" s="4">
        <v>1579</v>
      </c>
      <c r="R36" s="3">
        <v>-0.83399999999999996</v>
      </c>
      <c r="S36" s="4">
        <v>262.04000000000002</v>
      </c>
      <c r="T36" s="3">
        <v>-0.33600000000000002</v>
      </c>
      <c r="U36" s="4">
        <v>8599</v>
      </c>
      <c r="V36" s="3">
        <v>7.4999999999999997E-2</v>
      </c>
      <c r="W36" s="3">
        <v>8.0000000000000002E-3</v>
      </c>
      <c r="X36" s="3">
        <v>2.6840000000000002</v>
      </c>
      <c r="Y36" s="3">
        <v>2.6469999999999998</v>
      </c>
      <c r="Z36" s="3">
        <v>0.495</v>
      </c>
      <c r="AA36" s="3">
        <v>2.1520000000000001</v>
      </c>
      <c r="AB36" s="3">
        <v>2.6469999999999998</v>
      </c>
      <c r="AC36" s="3">
        <v>0.495</v>
      </c>
      <c r="AD36" s="3">
        <v>2.1520000000000001</v>
      </c>
      <c r="AE36" s="3">
        <v>0</v>
      </c>
      <c r="AF36" s="3">
        <v>6.34</v>
      </c>
      <c r="AG36" s="3">
        <v>-6.34</v>
      </c>
      <c r="AH36" s="3">
        <v>2.8439999999999999</v>
      </c>
      <c r="AI36" s="3">
        <v>0.69899999999999995</v>
      </c>
      <c r="AJ36" s="3">
        <v>2.145</v>
      </c>
      <c r="AK36" s="3">
        <v>3.0112000000000001</v>
      </c>
      <c r="AL36" s="4">
        <v>-17295</v>
      </c>
    </row>
    <row r="37" spans="1:38" x14ac:dyDescent="0.25">
      <c r="A37" s="12" t="s">
        <v>61</v>
      </c>
      <c r="B37" s="12" t="s">
        <v>46</v>
      </c>
      <c r="C37" s="2" t="s">
        <v>72</v>
      </c>
      <c r="D37" s="2" t="s">
        <v>72</v>
      </c>
      <c r="E37" s="3">
        <v>0.75800000000000001</v>
      </c>
      <c r="F37" s="3">
        <v>6.5000000000000002E-2</v>
      </c>
      <c r="G37" s="3">
        <v>0.28699999999999998</v>
      </c>
      <c r="H37" s="3">
        <v>0.28699999999999998</v>
      </c>
      <c r="I37" s="4">
        <v>2</v>
      </c>
      <c r="J37" s="3">
        <v>1</v>
      </c>
      <c r="K37" s="4">
        <v>31</v>
      </c>
      <c r="L37" s="4">
        <v>0</v>
      </c>
      <c r="M37" s="4">
        <v>2950</v>
      </c>
      <c r="N37" s="4">
        <v>2824</v>
      </c>
      <c r="O37" s="3">
        <v>4.4999999999999998E-2</v>
      </c>
      <c r="P37" s="4">
        <v>810</v>
      </c>
      <c r="Q37" s="4">
        <v>187</v>
      </c>
      <c r="R37" s="3">
        <v>3.3239999999999998</v>
      </c>
      <c r="S37" s="4">
        <v>405.03</v>
      </c>
      <c r="T37" s="3">
        <v>1.1619999999999999</v>
      </c>
      <c r="U37" s="4">
        <v>1930</v>
      </c>
      <c r="V37" s="3">
        <v>0.09</v>
      </c>
      <c r="W37" s="3">
        <v>4.5999999999999999E-2</v>
      </c>
      <c r="X37" s="3">
        <v>0.16400000000000001</v>
      </c>
      <c r="Y37" s="3">
        <v>0.16200000000000001</v>
      </c>
      <c r="Z37" s="3">
        <v>1.3320000000000001</v>
      </c>
      <c r="AA37" s="3">
        <v>-1.171</v>
      </c>
      <c r="AB37" s="3">
        <v>0.16200000000000001</v>
      </c>
      <c r="AC37" s="3">
        <v>1.3320000000000001</v>
      </c>
      <c r="AD37" s="3">
        <v>-1.171</v>
      </c>
      <c r="AE37" s="3">
        <v>2.552</v>
      </c>
      <c r="AF37" s="3">
        <v>0</v>
      </c>
      <c r="AG37" s="3">
        <v>2.552</v>
      </c>
      <c r="AH37" s="3">
        <v>0.41299999999999998</v>
      </c>
      <c r="AI37" s="3">
        <v>1.5840000000000001</v>
      </c>
      <c r="AJ37" s="3">
        <v>-1.1719999999999999</v>
      </c>
      <c r="AK37" s="3">
        <v>0.65349999999999997</v>
      </c>
      <c r="AL37" s="4">
        <v>669</v>
      </c>
    </row>
    <row r="38" spans="1:38" x14ac:dyDescent="0.25">
      <c r="A38" s="12" t="s">
        <v>61</v>
      </c>
      <c r="B38" s="12" t="s">
        <v>46</v>
      </c>
      <c r="C38" s="5" t="s">
        <v>42</v>
      </c>
      <c r="D38" s="5"/>
      <c r="E38" s="6">
        <v>1</v>
      </c>
      <c r="F38" s="6">
        <v>2.1000000000000001E-2</v>
      </c>
      <c r="G38" s="6">
        <v>0.113</v>
      </c>
      <c r="H38" s="6">
        <v>8.5999999999999993E-2</v>
      </c>
      <c r="I38" s="7">
        <v>3</v>
      </c>
      <c r="J38" s="6">
        <v>-0.4</v>
      </c>
      <c r="K38" s="7">
        <v>98</v>
      </c>
      <c r="L38" s="7">
        <v>1</v>
      </c>
      <c r="M38" s="7">
        <v>10529</v>
      </c>
      <c r="N38" s="7">
        <v>9459</v>
      </c>
      <c r="O38" s="6">
        <v>0.113</v>
      </c>
      <c r="P38" s="7">
        <v>1072</v>
      </c>
      <c r="Q38" s="7">
        <v>1766</v>
      </c>
      <c r="R38" s="6">
        <v>-0.39300000000000002</v>
      </c>
      <c r="S38" s="7">
        <v>357.37</v>
      </c>
      <c r="T38" s="6">
        <v>1.2E-2</v>
      </c>
      <c r="U38" s="7">
        <v>10530</v>
      </c>
      <c r="V38" s="6">
        <v>7.8E-2</v>
      </c>
      <c r="W38" s="6">
        <v>1.4E-2</v>
      </c>
      <c r="X38" s="6">
        <v>2.222</v>
      </c>
      <c r="Y38" s="6">
        <v>2.1909999999999998</v>
      </c>
      <c r="Z38" s="6">
        <v>0.64700000000000002</v>
      </c>
      <c r="AA38" s="6">
        <v>1.5449999999999999</v>
      </c>
      <c r="AB38" s="6">
        <v>2.1909999999999998</v>
      </c>
      <c r="AC38" s="6">
        <v>0.64700000000000002</v>
      </c>
      <c r="AD38" s="6">
        <v>1.5449999999999999</v>
      </c>
      <c r="AE38" s="6">
        <v>2.3119999999999998</v>
      </c>
      <c r="AF38" s="6">
        <v>5.8620000000000001</v>
      </c>
      <c r="AG38" s="6">
        <v>-3.55</v>
      </c>
      <c r="AH38" s="6">
        <v>2.3980000000000001</v>
      </c>
      <c r="AI38" s="6">
        <v>0.86</v>
      </c>
      <c r="AJ38" s="6">
        <v>1.5389999999999999</v>
      </c>
      <c r="AK38" s="6">
        <v>2.5790000000000002</v>
      </c>
      <c r="AL38" s="7">
        <v>-16626</v>
      </c>
    </row>
    <row r="39" spans="1:38" ht="33.75" x14ac:dyDescent="0.25">
      <c r="A39" s="12" t="s">
        <v>61</v>
      </c>
      <c r="B39" s="12" t="s">
        <v>73</v>
      </c>
      <c r="C39" s="2" t="s">
        <v>73</v>
      </c>
      <c r="D39" s="2" t="s">
        <v>74</v>
      </c>
      <c r="E39" s="3">
        <v>0.16400000000000001</v>
      </c>
      <c r="F39" s="3">
        <v>0</v>
      </c>
      <c r="G39" s="3">
        <v>0</v>
      </c>
      <c r="H39" s="3">
        <v>0</v>
      </c>
      <c r="I39" s="4">
        <v>0</v>
      </c>
      <c r="J39" s="3">
        <v>-1</v>
      </c>
      <c r="K39" s="4">
        <v>9</v>
      </c>
      <c r="L39" s="4">
        <v>0</v>
      </c>
      <c r="M39" s="4">
        <v>451</v>
      </c>
      <c r="N39" s="4">
        <v>2749</v>
      </c>
      <c r="O39" s="3">
        <v>-0.83599999999999997</v>
      </c>
      <c r="P39" s="4">
        <v>0</v>
      </c>
      <c r="Q39" s="4">
        <v>405</v>
      </c>
      <c r="R39" s="3">
        <v>-1</v>
      </c>
      <c r="S39" s="8"/>
      <c r="T39" s="8"/>
      <c r="U39" s="4">
        <v>1245</v>
      </c>
      <c r="V39" s="3">
        <v>-0.312</v>
      </c>
      <c r="W39" s="3">
        <v>0</v>
      </c>
      <c r="X39" s="3">
        <v>0</v>
      </c>
      <c r="Y39" s="3">
        <v>0.318</v>
      </c>
      <c r="Z39" s="3">
        <v>1.1459999999999999</v>
      </c>
      <c r="AA39" s="3">
        <v>-0.82899999999999996</v>
      </c>
      <c r="AB39" s="3">
        <v>0.318</v>
      </c>
      <c r="AC39" s="3">
        <v>1.1459999999999999</v>
      </c>
      <c r="AD39" s="3">
        <v>-0.82899999999999996</v>
      </c>
      <c r="AE39" s="8"/>
      <c r="AF39" s="3">
        <v>0</v>
      </c>
      <c r="AG39" s="8"/>
      <c r="AH39" s="3">
        <v>0.49299999999999999</v>
      </c>
      <c r="AI39" s="3">
        <v>1.3220000000000001</v>
      </c>
      <c r="AJ39" s="3">
        <v>-0.82899999999999996</v>
      </c>
      <c r="AK39" s="3">
        <v>0.60219999999999996</v>
      </c>
      <c r="AL39" s="4">
        <v>495</v>
      </c>
    </row>
    <row r="40" spans="1:38" x14ac:dyDescent="0.25">
      <c r="A40" s="12" t="s">
        <v>61</v>
      </c>
      <c r="B40" s="12" t="s">
        <v>73</v>
      </c>
      <c r="C40" s="5" t="s">
        <v>42</v>
      </c>
      <c r="D40" s="5"/>
      <c r="E40" s="6">
        <v>0.16400000000000001</v>
      </c>
      <c r="F40" s="6">
        <v>0</v>
      </c>
      <c r="G40" s="6">
        <v>0</v>
      </c>
      <c r="H40" s="6">
        <v>0</v>
      </c>
      <c r="I40" s="7">
        <v>0</v>
      </c>
      <c r="J40" s="6">
        <v>-1</v>
      </c>
      <c r="K40" s="7">
        <v>9</v>
      </c>
      <c r="L40" s="7">
        <v>0</v>
      </c>
      <c r="M40" s="7">
        <v>451</v>
      </c>
      <c r="N40" s="7">
        <v>2749</v>
      </c>
      <c r="O40" s="6">
        <v>-0.83599999999999997</v>
      </c>
      <c r="P40" s="7">
        <v>0</v>
      </c>
      <c r="Q40" s="7">
        <v>405</v>
      </c>
      <c r="R40" s="6">
        <v>-1</v>
      </c>
      <c r="S40" s="5"/>
      <c r="T40" s="5"/>
      <c r="U40" s="7">
        <v>1245</v>
      </c>
      <c r="V40" s="6">
        <v>-0.312</v>
      </c>
      <c r="W40" s="6">
        <v>0</v>
      </c>
      <c r="X40" s="6">
        <v>0</v>
      </c>
      <c r="Y40" s="6">
        <v>0.318</v>
      </c>
      <c r="Z40" s="6">
        <v>1.1459999999999999</v>
      </c>
      <c r="AA40" s="6">
        <v>-0.82899999999999996</v>
      </c>
      <c r="AB40" s="6">
        <v>0.318</v>
      </c>
      <c r="AC40" s="6">
        <v>1.1459999999999999</v>
      </c>
      <c r="AD40" s="6">
        <v>-0.82899999999999996</v>
      </c>
      <c r="AE40" s="5"/>
      <c r="AF40" s="6">
        <v>0</v>
      </c>
      <c r="AG40" s="5"/>
      <c r="AH40" s="6">
        <v>0.49299999999999999</v>
      </c>
      <c r="AI40" s="6">
        <v>1.3220000000000001</v>
      </c>
      <c r="AJ40" s="6">
        <v>-0.82899999999999996</v>
      </c>
      <c r="AK40" s="6">
        <v>0.60219999999999996</v>
      </c>
      <c r="AL40" s="7">
        <v>495</v>
      </c>
    </row>
    <row r="41" spans="1:38" x14ac:dyDescent="0.25">
      <c r="A41" s="12" t="s">
        <v>61</v>
      </c>
      <c r="B41" s="5" t="s">
        <v>42</v>
      </c>
      <c r="C41" s="5"/>
      <c r="D41" s="5"/>
      <c r="E41" s="6">
        <v>0.79200000000000004</v>
      </c>
      <c r="F41" s="6">
        <v>3.5999999999999997E-2</v>
      </c>
      <c r="G41" s="6">
        <v>0.30299999999999999</v>
      </c>
      <c r="H41" s="6">
        <v>0.29399999999999998</v>
      </c>
      <c r="I41" s="7">
        <v>18</v>
      </c>
      <c r="J41" s="6">
        <v>-0.379</v>
      </c>
      <c r="K41" s="7">
        <v>371</v>
      </c>
      <c r="L41" s="7">
        <v>5</v>
      </c>
      <c r="M41" s="7">
        <v>35817</v>
      </c>
      <c r="N41" s="7">
        <v>32730</v>
      </c>
      <c r="O41" s="6">
        <v>9.4E-2</v>
      </c>
      <c r="P41" s="7">
        <v>9906</v>
      </c>
      <c r="Q41" s="7">
        <v>10758</v>
      </c>
      <c r="R41" s="6">
        <v>-7.9000000000000001E-2</v>
      </c>
      <c r="S41" s="7">
        <v>550.32000000000005</v>
      </c>
      <c r="T41" s="6">
        <v>0.39300000000000002</v>
      </c>
      <c r="U41" s="7">
        <v>49145</v>
      </c>
      <c r="V41" s="6">
        <v>-7.0999999999999994E-2</v>
      </c>
      <c r="W41" s="6">
        <v>5.0000000000000001E-3</v>
      </c>
      <c r="X41" s="6">
        <v>1.1910000000000001</v>
      </c>
      <c r="Y41" s="6">
        <v>1.349</v>
      </c>
      <c r="Z41" s="6">
        <v>0.58499999999999996</v>
      </c>
      <c r="AA41" s="6">
        <v>0.76400000000000001</v>
      </c>
      <c r="AB41" s="6">
        <v>1.349</v>
      </c>
      <c r="AC41" s="6">
        <v>0.58399999999999996</v>
      </c>
      <c r="AD41" s="6">
        <v>0.76500000000000001</v>
      </c>
      <c r="AE41" s="6">
        <v>0.18099999999999999</v>
      </c>
      <c r="AF41" s="6">
        <v>2.016</v>
      </c>
      <c r="AG41" s="6">
        <v>-1.835</v>
      </c>
      <c r="AH41" s="6">
        <v>1.532</v>
      </c>
      <c r="AI41" s="6">
        <v>0.76200000000000001</v>
      </c>
      <c r="AJ41" s="6">
        <v>0.76900000000000002</v>
      </c>
      <c r="AK41" s="6">
        <v>1.6877</v>
      </c>
      <c r="AL41" s="7">
        <v>-33795</v>
      </c>
    </row>
    <row r="42" spans="1:38" x14ac:dyDescent="0.25">
      <c r="A42" s="2" t="s">
        <v>75</v>
      </c>
      <c r="B42" s="2" t="s">
        <v>75</v>
      </c>
      <c r="C42" s="2" t="s">
        <v>75</v>
      </c>
      <c r="D42" s="2" t="s">
        <v>75</v>
      </c>
      <c r="E42" s="6">
        <v>0.95299999999999996</v>
      </c>
      <c r="F42" s="6">
        <v>3.3000000000000002E-2</v>
      </c>
      <c r="G42" s="6">
        <v>0.11</v>
      </c>
      <c r="H42" s="6">
        <v>0.08</v>
      </c>
      <c r="I42" s="7">
        <v>166</v>
      </c>
      <c r="J42" s="6">
        <v>7.0999999999999994E-2</v>
      </c>
      <c r="K42" s="7">
        <v>4011</v>
      </c>
      <c r="L42" s="7">
        <v>34</v>
      </c>
      <c r="M42" s="7">
        <v>440315</v>
      </c>
      <c r="N42" s="7">
        <v>414154</v>
      </c>
      <c r="O42" s="6">
        <v>6.3E-2</v>
      </c>
      <c r="P42" s="7">
        <v>45673</v>
      </c>
      <c r="Q42" s="7">
        <v>46351</v>
      </c>
      <c r="R42" s="6">
        <v>-1.4999999999999999E-2</v>
      </c>
      <c r="S42" s="7">
        <v>284.98</v>
      </c>
      <c r="T42" s="6">
        <v>-0.11600000000000001</v>
      </c>
      <c r="U42" s="7">
        <v>330760</v>
      </c>
      <c r="V42" s="6">
        <v>1.2E-2</v>
      </c>
      <c r="W42" s="6">
        <v>6.0000000000000001E-3</v>
      </c>
      <c r="X42" s="6">
        <v>0.78500000000000003</v>
      </c>
      <c r="Y42" s="6">
        <v>0.83199999999999996</v>
      </c>
      <c r="Z42" s="6">
        <v>0.53</v>
      </c>
      <c r="AA42" s="6">
        <v>0.30199999999999999</v>
      </c>
      <c r="AB42" s="6">
        <v>0.83199999999999996</v>
      </c>
      <c r="AC42" s="6">
        <v>0.52700000000000002</v>
      </c>
      <c r="AD42" s="6">
        <v>0.30499999999999999</v>
      </c>
      <c r="AE42" s="6">
        <v>1.327</v>
      </c>
      <c r="AF42" s="6">
        <v>1.04</v>
      </c>
      <c r="AG42" s="6">
        <v>0.28699999999999998</v>
      </c>
      <c r="AH42" s="6">
        <v>0.95299999999999996</v>
      </c>
      <c r="AI42" s="6">
        <v>0.65100000000000002</v>
      </c>
      <c r="AJ42" s="6">
        <v>0.30199999999999999</v>
      </c>
      <c r="AK42" s="6">
        <v>1.1224000000000001</v>
      </c>
      <c r="AL42" s="7">
        <v>-40499</v>
      </c>
    </row>
    <row r="44" spans="1:38" x14ac:dyDescent="0.25">
      <c r="A44" t="s">
        <v>76</v>
      </c>
      <c r="B44" t="s">
        <v>76</v>
      </c>
      <c r="C44" t="s">
        <v>76</v>
      </c>
    </row>
    <row r="45" spans="1:38" x14ac:dyDescent="0.25">
      <c r="A45" s="9" t="s">
        <v>95</v>
      </c>
      <c r="B45" s="9" t="s">
        <v>97</v>
      </c>
    </row>
  </sheetData>
  <mergeCells count="18">
    <mergeCell ref="A4:AL4"/>
    <mergeCell ref="A5:AL5"/>
    <mergeCell ref="A7:A25"/>
    <mergeCell ref="A26:A41"/>
    <mergeCell ref="B7:B9"/>
    <mergeCell ref="B10:B11"/>
    <mergeCell ref="B12:B13"/>
    <mergeCell ref="B14:B15"/>
    <mergeCell ref="B34:B35"/>
    <mergeCell ref="B36:B38"/>
    <mergeCell ref="B16:B22"/>
    <mergeCell ref="B23:B24"/>
    <mergeCell ref="B26:B27"/>
    <mergeCell ref="B28:B29"/>
    <mergeCell ref="B30:B31"/>
    <mergeCell ref="B32:B33"/>
    <mergeCell ref="B39:B40"/>
    <mergeCell ref="C19:C20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2886-6B18-4CD8-BDEC-6A240B52300E}">
  <dimension ref="A4:AM45"/>
  <sheetViews>
    <sheetView topLeftCell="B18" workbookViewId="0">
      <selection activeCell="M42" sqref="M42"/>
    </sheetView>
  </sheetViews>
  <sheetFormatPr baseColWidth="10" defaultRowHeight="15" x14ac:dyDescent="0.25"/>
  <sheetData>
    <row r="4" spans="1:39" ht="20.25" x14ac:dyDescent="0.25">
      <c r="A4" s="10" t="s">
        <v>96</v>
      </c>
      <c r="B4" s="10" t="s">
        <v>96</v>
      </c>
      <c r="C4" s="10" t="s">
        <v>96</v>
      </c>
      <c r="D4" s="10" t="s">
        <v>96</v>
      </c>
      <c r="E4" s="10" t="s">
        <v>96</v>
      </c>
      <c r="F4" s="10" t="s">
        <v>96</v>
      </c>
      <c r="G4" s="10" t="s">
        <v>96</v>
      </c>
      <c r="H4" s="10" t="s">
        <v>96</v>
      </c>
      <c r="I4" s="10" t="s">
        <v>96</v>
      </c>
      <c r="J4" s="10" t="s">
        <v>96</v>
      </c>
      <c r="K4" s="10" t="s">
        <v>96</v>
      </c>
      <c r="L4" s="10" t="s">
        <v>96</v>
      </c>
      <c r="M4" s="10" t="s">
        <v>96</v>
      </c>
      <c r="N4" s="10" t="s">
        <v>96</v>
      </c>
      <c r="O4" s="10"/>
      <c r="P4" s="10" t="s">
        <v>96</v>
      </c>
      <c r="Q4" s="10" t="s">
        <v>96</v>
      </c>
      <c r="R4" s="10" t="s">
        <v>96</v>
      </c>
      <c r="S4" s="10" t="s">
        <v>96</v>
      </c>
      <c r="T4" s="10" t="s">
        <v>96</v>
      </c>
      <c r="U4" s="10" t="s">
        <v>96</v>
      </c>
      <c r="V4" s="10" t="s">
        <v>96</v>
      </c>
      <c r="W4" s="10" t="s">
        <v>96</v>
      </c>
      <c r="X4" s="10" t="s">
        <v>96</v>
      </c>
      <c r="Y4" s="10" t="s">
        <v>96</v>
      </c>
      <c r="Z4" s="10" t="s">
        <v>96</v>
      </c>
      <c r="AA4" s="10" t="s">
        <v>96</v>
      </c>
      <c r="AB4" s="10" t="s">
        <v>96</v>
      </c>
      <c r="AC4" s="10" t="s">
        <v>96</v>
      </c>
      <c r="AD4" s="10" t="s">
        <v>96</v>
      </c>
      <c r="AE4" s="10" t="s">
        <v>96</v>
      </c>
      <c r="AF4" s="10" t="s">
        <v>96</v>
      </c>
      <c r="AG4" s="10" t="s">
        <v>96</v>
      </c>
      <c r="AH4" s="10" t="s">
        <v>96</v>
      </c>
      <c r="AI4" s="10" t="s">
        <v>96</v>
      </c>
      <c r="AJ4" s="10" t="s">
        <v>96</v>
      </c>
      <c r="AK4" s="10" t="s">
        <v>96</v>
      </c>
      <c r="AL4" s="10" t="s">
        <v>96</v>
      </c>
      <c r="AM4" s="10" t="s">
        <v>96</v>
      </c>
    </row>
    <row r="5" spans="1:39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/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  <c r="AM5" s="11" t="s">
        <v>1</v>
      </c>
    </row>
    <row r="6" spans="1:39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92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27</v>
      </c>
      <c r="AF6" s="1" t="s">
        <v>30</v>
      </c>
      <c r="AG6" s="1" t="s">
        <v>31</v>
      </c>
      <c r="AH6" s="1" t="s">
        <v>27</v>
      </c>
      <c r="AI6" s="1" t="s">
        <v>32</v>
      </c>
      <c r="AJ6" s="1" t="s">
        <v>33</v>
      </c>
      <c r="AK6" s="1" t="s">
        <v>34</v>
      </c>
      <c r="AL6" s="1" t="s">
        <v>35</v>
      </c>
      <c r="AM6" s="1" t="s">
        <v>36</v>
      </c>
    </row>
    <row r="7" spans="1:39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1.0309999999999999</v>
      </c>
      <c r="F7" s="3">
        <v>0</v>
      </c>
      <c r="G7" s="3">
        <v>0.185</v>
      </c>
      <c r="H7" s="3">
        <v>0.128</v>
      </c>
      <c r="I7" s="4">
        <v>2</v>
      </c>
      <c r="J7" s="8"/>
      <c r="K7" s="4">
        <v>24</v>
      </c>
      <c r="L7" s="4">
        <v>2</v>
      </c>
      <c r="M7" s="4">
        <v>1421</v>
      </c>
      <c r="N7" s="4">
        <v>1168</v>
      </c>
      <c r="O7" s="4">
        <f t="shared" ref="O7:O42" si="0">M7-N7</f>
        <v>253</v>
      </c>
      <c r="P7" s="3">
        <v>0.216</v>
      </c>
      <c r="Q7" s="4">
        <v>217</v>
      </c>
      <c r="R7" s="4">
        <v>0</v>
      </c>
      <c r="S7" s="8"/>
      <c r="T7" s="4">
        <v>108.32</v>
      </c>
      <c r="U7" s="8"/>
      <c r="V7" s="4">
        <v>1252</v>
      </c>
      <c r="W7" s="3">
        <v>-4.8000000000000001E-2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8"/>
      <c r="AG7" s="8"/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4">
        <v>0</v>
      </c>
    </row>
    <row r="8" spans="1:39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0.98699999999999999</v>
      </c>
      <c r="F8" s="3">
        <v>0.02</v>
      </c>
      <c r="G8" s="3">
        <v>0</v>
      </c>
      <c r="H8" s="3">
        <v>0</v>
      </c>
      <c r="I8" s="4">
        <v>0</v>
      </c>
      <c r="J8" s="3">
        <v>-1</v>
      </c>
      <c r="K8" s="4">
        <v>48</v>
      </c>
      <c r="L8" s="4">
        <v>-1</v>
      </c>
      <c r="M8" s="4">
        <v>3114</v>
      </c>
      <c r="N8" s="4">
        <v>3155</v>
      </c>
      <c r="O8" s="4">
        <f t="shared" si="0"/>
        <v>-41</v>
      </c>
      <c r="P8" s="3">
        <v>-1.2999999999999999E-2</v>
      </c>
      <c r="Q8" s="4">
        <v>0</v>
      </c>
      <c r="R8" s="4">
        <v>334</v>
      </c>
      <c r="S8" s="3">
        <v>-1</v>
      </c>
      <c r="T8" s="8"/>
      <c r="U8" s="8"/>
      <c r="V8" s="4">
        <v>2838</v>
      </c>
      <c r="W8" s="3">
        <v>0.112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8"/>
      <c r="AG8" s="8"/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4">
        <v>0</v>
      </c>
    </row>
    <row r="9" spans="1:39" x14ac:dyDescent="0.25">
      <c r="A9" s="12" t="s">
        <v>37</v>
      </c>
      <c r="B9" s="12" t="s">
        <v>38</v>
      </c>
      <c r="C9" s="5" t="s">
        <v>42</v>
      </c>
      <c r="D9" s="5"/>
      <c r="E9" s="6">
        <v>0.999</v>
      </c>
      <c r="F9" s="6">
        <v>1.4E-2</v>
      </c>
      <c r="G9" s="6">
        <v>0.05</v>
      </c>
      <c r="H9" s="6">
        <v>3.5000000000000003E-2</v>
      </c>
      <c r="I9" s="7">
        <v>2</v>
      </c>
      <c r="J9" s="6">
        <v>0</v>
      </c>
      <c r="K9" s="7">
        <v>72</v>
      </c>
      <c r="L9" s="7">
        <v>1</v>
      </c>
      <c r="M9" s="7">
        <v>4535</v>
      </c>
      <c r="N9" s="7">
        <v>4323</v>
      </c>
      <c r="O9" s="4">
        <f t="shared" si="0"/>
        <v>212</v>
      </c>
      <c r="P9" s="6">
        <v>4.9000000000000002E-2</v>
      </c>
      <c r="Q9" s="7">
        <v>217</v>
      </c>
      <c r="R9" s="7">
        <v>334</v>
      </c>
      <c r="S9" s="6">
        <v>-0.35199999999999998</v>
      </c>
      <c r="T9" s="7">
        <v>108.32</v>
      </c>
      <c r="U9" s="6">
        <v>-0.35199999999999998</v>
      </c>
      <c r="V9" s="7">
        <v>4090</v>
      </c>
      <c r="W9" s="6">
        <v>5.8000000000000003E-2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5"/>
      <c r="AG9" s="5"/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7">
        <v>0</v>
      </c>
    </row>
    <row r="10" spans="1:39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0.95299999999999996</v>
      </c>
      <c r="F10" s="3">
        <v>4.7E-2</v>
      </c>
      <c r="G10" s="3">
        <v>0.10299999999999999</v>
      </c>
      <c r="H10" s="3">
        <v>7.3999999999999996E-2</v>
      </c>
      <c r="I10" s="4">
        <v>167</v>
      </c>
      <c r="J10" s="3">
        <v>0.40300000000000002</v>
      </c>
      <c r="K10" s="4">
        <v>2564</v>
      </c>
      <c r="L10" s="4">
        <v>49</v>
      </c>
      <c r="M10" s="4">
        <v>398171</v>
      </c>
      <c r="N10" s="4">
        <v>376831</v>
      </c>
      <c r="O10" s="4">
        <f t="shared" si="0"/>
        <v>21340</v>
      </c>
      <c r="P10" s="3">
        <v>5.7000000000000002E-2</v>
      </c>
      <c r="Q10" s="4">
        <v>38873</v>
      </c>
      <c r="R10" s="4">
        <v>38608</v>
      </c>
      <c r="S10" s="3">
        <v>7.0000000000000001E-3</v>
      </c>
      <c r="T10" s="4">
        <v>238.36</v>
      </c>
      <c r="U10" s="3">
        <v>-0.30599999999999999</v>
      </c>
      <c r="V10" s="4">
        <v>298109</v>
      </c>
      <c r="W10" s="3">
        <v>2.3E-2</v>
      </c>
      <c r="X10" s="3">
        <v>5.0000000000000001E-3</v>
      </c>
      <c r="Y10" s="3">
        <v>0.84799999999999998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8"/>
      <c r="AG10" s="8"/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4">
        <v>0</v>
      </c>
    </row>
    <row r="11" spans="1:39" x14ac:dyDescent="0.25">
      <c r="A11" s="12" t="s">
        <v>37</v>
      </c>
      <c r="B11" s="12" t="s">
        <v>43</v>
      </c>
      <c r="C11" s="5" t="s">
        <v>42</v>
      </c>
      <c r="D11" s="5"/>
      <c r="E11" s="6">
        <v>0.95299999999999996</v>
      </c>
      <c r="F11" s="6">
        <v>4.7E-2</v>
      </c>
      <c r="G11" s="6">
        <v>0.10299999999999999</v>
      </c>
      <c r="H11" s="6">
        <v>7.3999999999999996E-2</v>
      </c>
      <c r="I11" s="7">
        <v>167</v>
      </c>
      <c r="J11" s="6">
        <v>0.40300000000000002</v>
      </c>
      <c r="K11" s="7">
        <v>2564</v>
      </c>
      <c r="L11" s="7">
        <v>49</v>
      </c>
      <c r="M11" s="7">
        <v>398171</v>
      </c>
      <c r="N11" s="7">
        <v>376831</v>
      </c>
      <c r="O11" s="4">
        <f t="shared" si="0"/>
        <v>21340</v>
      </c>
      <c r="P11" s="6">
        <v>5.7000000000000002E-2</v>
      </c>
      <c r="Q11" s="7">
        <v>38873</v>
      </c>
      <c r="R11" s="7">
        <v>38608</v>
      </c>
      <c r="S11" s="6">
        <v>7.0000000000000001E-3</v>
      </c>
      <c r="T11" s="7">
        <v>238.36</v>
      </c>
      <c r="U11" s="6">
        <v>-0.30599999999999999</v>
      </c>
      <c r="V11" s="7">
        <v>298109</v>
      </c>
      <c r="W11" s="6">
        <v>2.3E-2</v>
      </c>
      <c r="X11" s="6">
        <v>5.0000000000000001E-3</v>
      </c>
      <c r="Y11" s="6">
        <v>0.84799999999999998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5"/>
      <c r="AG11" s="5"/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7">
        <v>0</v>
      </c>
    </row>
    <row r="12" spans="1:39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0.92800000000000005</v>
      </c>
      <c r="F12" s="3">
        <v>3.5999999999999997E-2</v>
      </c>
      <c r="G12" s="3">
        <v>9.5000000000000001E-2</v>
      </c>
      <c r="H12" s="3">
        <v>5.8000000000000003E-2</v>
      </c>
      <c r="I12" s="4">
        <v>27</v>
      </c>
      <c r="J12" s="3">
        <v>-0.1</v>
      </c>
      <c r="K12" s="4">
        <v>752</v>
      </c>
      <c r="L12" s="4">
        <v>0</v>
      </c>
      <c r="M12" s="4">
        <v>53093</v>
      </c>
      <c r="N12" s="4">
        <v>51891</v>
      </c>
      <c r="O12" s="4">
        <f t="shared" si="0"/>
        <v>1202</v>
      </c>
      <c r="P12" s="3">
        <v>2.3E-2</v>
      </c>
      <c r="Q12" s="4">
        <v>4923</v>
      </c>
      <c r="R12" s="4">
        <v>6019</v>
      </c>
      <c r="S12" s="3">
        <v>-0.182</v>
      </c>
      <c r="T12" s="4">
        <v>182.34</v>
      </c>
      <c r="U12" s="3">
        <v>-9.0999999999999998E-2</v>
      </c>
      <c r="V12" s="4">
        <v>52141</v>
      </c>
      <c r="W12" s="3">
        <v>4.2000000000000003E-2</v>
      </c>
      <c r="X12" s="3">
        <v>6.0000000000000001E-3</v>
      </c>
      <c r="Y12" s="3">
        <v>0.374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8"/>
      <c r="AG12" s="8"/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4">
        <v>0</v>
      </c>
    </row>
    <row r="13" spans="1:39" x14ac:dyDescent="0.25">
      <c r="A13" s="12" t="s">
        <v>37</v>
      </c>
      <c r="B13" s="12" t="s">
        <v>45</v>
      </c>
      <c r="C13" s="5" t="s">
        <v>42</v>
      </c>
      <c r="D13" s="5"/>
      <c r="E13" s="6">
        <v>0.92800000000000005</v>
      </c>
      <c r="F13" s="6">
        <v>3.5999999999999997E-2</v>
      </c>
      <c r="G13" s="6">
        <v>9.5000000000000001E-2</v>
      </c>
      <c r="H13" s="6">
        <v>5.8000000000000003E-2</v>
      </c>
      <c r="I13" s="7">
        <v>27</v>
      </c>
      <c r="J13" s="6">
        <v>-0.1</v>
      </c>
      <c r="K13" s="7">
        <v>752</v>
      </c>
      <c r="L13" s="7">
        <v>0</v>
      </c>
      <c r="M13" s="7">
        <v>53093</v>
      </c>
      <c r="N13" s="7">
        <v>51891</v>
      </c>
      <c r="O13" s="4">
        <f t="shared" si="0"/>
        <v>1202</v>
      </c>
      <c r="P13" s="6">
        <v>2.3E-2</v>
      </c>
      <c r="Q13" s="7">
        <v>4923</v>
      </c>
      <c r="R13" s="7">
        <v>6019</v>
      </c>
      <c r="S13" s="6">
        <v>-0.182</v>
      </c>
      <c r="T13" s="7">
        <v>182.34</v>
      </c>
      <c r="U13" s="6">
        <v>-9.0999999999999998E-2</v>
      </c>
      <c r="V13" s="7">
        <v>52141</v>
      </c>
      <c r="W13" s="6">
        <v>4.2000000000000003E-2</v>
      </c>
      <c r="X13" s="6">
        <v>6.0000000000000001E-3</v>
      </c>
      <c r="Y13" s="6">
        <v>0.374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5"/>
      <c r="AG13" s="5"/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0</v>
      </c>
    </row>
    <row r="14" spans="1:39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0.86099999999999999</v>
      </c>
      <c r="F14" s="3">
        <v>0</v>
      </c>
      <c r="G14" s="3">
        <v>0</v>
      </c>
      <c r="H14" s="3">
        <v>0</v>
      </c>
      <c r="I14" s="4">
        <v>0</v>
      </c>
      <c r="J14" s="3">
        <v>-1</v>
      </c>
      <c r="K14" s="4">
        <v>24</v>
      </c>
      <c r="L14" s="4">
        <v>0</v>
      </c>
      <c r="M14" s="4">
        <v>4398</v>
      </c>
      <c r="N14" s="4">
        <v>5106</v>
      </c>
      <c r="O14" s="4">
        <f t="shared" si="0"/>
        <v>-708</v>
      </c>
      <c r="P14" s="3">
        <v>-0.13900000000000001</v>
      </c>
      <c r="Q14" s="4">
        <v>0</v>
      </c>
      <c r="R14" s="4">
        <v>1001</v>
      </c>
      <c r="S14" s="3">
        <v>-1</v>
      </c>
      <c r="T14" s="8"/>
      <c r="U14" s="8"/>
      <c r="V14" s="4">
        <v>5549</v>
      </c>
      <c r="W14" s="3">
        <v>2E-3</v>
      </c>
      <c r="X14" s="3">
        <v>0</v>
      </c>
      <c r="Y14" s="3">
        <v>0.27800000000000002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8"/>
      <c r="AG14" s="8"/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4">
        <v>0</v>
      </c>
    </row>
    <row r="15" spans="1:39" x14ac:dyDescent="0.25">
      <c r="A15" s="12" t="s">
        <v>37</v>
      </c>
      <c r="B15" s="12" t="s">
        <v>46</v>
      </c>
      <c r="C15" s="5" t="s">
        <v>42</v>
      </c>
      <c r="D15" s="5"/>
      <c r="E15" s="6">
        <v>0.86099999999999999</v>
      </c>
      <c r="F15" s="6">
        <v>0</v>
      </c>
      <c r="G15" s="6">
        <v>0</v>
      </c>
      <c r="H15" s="6">
        <v>0</v>
      </c>
      <c r="I15" s="7">
        <v>0</v>
      </c>
      <c r="J15" s="6">
        <v>-1</v>
      </c>
      <c r="K15" s="7">
        <v>24</v>
      </c>
      <c r="L15" s="7">
        <v>0</v>
      </c>
      <c r="M15" s="7">
        <v>4398</v>
      </c>
      <c r="N15" s="7">
        <v>5106</v>
      </c>
      <c r="O15" s="4">
        <f t="shared" si="0"/>
        <v>-708</v>
      </c>
      <c r="P15" s="6">
        <v>-0.13900000000000001</v>
      </c>
      <c r="Q15" s="7">
        <v>0</v>
      </c>
      <c r="R15" s="7">
        <v>1001</v>
      </c>
      <c r="S15" s="6">
        <v>-1</v>
      </c>
      <c r="T15" s="5"/>
      <c r="U15" s="5"/>
      <c r="V15" s="7">
        <v>5549</v>
      </c>
      <c r="W15" s="6">
        <v>2E-3</v>
      </c>
      <c r="X15" s="6">
        <v>0</v>
      </c>
      <c r="Y15" s="6">
        <v>0.27800000000000002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5"/>
      <c r="AG15" s="5"/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0</v>
      </c>
    </row>
    <row r="16" spans="1:39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4</v>
      </c>
      <c r="G16" s="3">
        <v>0.41399999999999998</v>
      </c>
      <c r="H16" s="3">
        <v>0.126</v>
      </c>
      <c r="I16" s="4">
        <v>3</v>
      </c>
      <c r="J16" s="3">
        <v>0</v>
      </c>
      <c r="K16" s="4">
        <v>0</v>
      </c>
      <c r="L16" s="4">
        <v>-1</v>
      </c>
      <c r="M16" s="4">
        <v>329</v>
      </c>
      <c r="N16" s="4">
        <v>794</v>
      </c>
      <c r="O16" s="4">
        <f t="shared" si="0"/>
        <v>-465</v>
      </c>
      <c r="P16" s="3">
        <v>-0.58599999999999997</v>
      </c>
      <c r="Q16" s="4">
        <v>329</v>
      </c>
      <c r="R16" s="4">
        <v>794</v>
      </c>
      <c r="S16" s="3">
        <v>-0.58599999999999997</v>
      </c>
      <c r="T16" s="4">
        <v>1644.35</v>
      </c>
      <c r="U16" s="3">
        <v>-0.246</v>
      </c>
      <c r="V16" s="4">
        <v>464</v>
      </c>
      <c r="W16" s="3">
        <v>-2.4E-2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8"/>
      <c r="AG16" s="8"/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4">
        <v>0</v>
      </c>
    </row>
    <row r="17" spans="1:39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-0.82699999999999996</v>
      </c>
      <c r="F17" s="3">
        <v>0.125</v>
      </c>
      <c r="G17" s="3">
        <v>0</v>
      </c>
      <c r="H17" s="3">
        <v>0</v>
      </c>
      <c r="I17" s="4">
        <v>0</v>
      </c>
      <c r="J17" s="8"/>
      <c r="K17" s="4">
        <v>7</v>
      </c>
      <c r="L17" s="4">
        <v>-1</v>
      </c>
      <c r="M17" s="4">
        <v>-46</v>
      </c>
      <c r="N17" s="4">
        <v>55</v>
      </c>
      <c r="O17" s="4">
        <f t="shared" si="0"/>
        <v>-101</v>
      </c>
      <c r="P17" s="3">
        <v>-1.827</v>
      </c>
      <c r="Q17" s="4">
        <v>0</v>
      </c>
      <c r="R17" s="4">
        <v>0</v>
      </c>
      <c r="S17" s="8"/>
      <c r="T17" s="8"/>
      <c r="U17" s="8"/>
      <c r="V17" s="4">
        <v>336</v>
      </c>
      <c r="W17" s="3">
        <v>6.0000000000000001E-3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8"/>
      <c r="AG17" s="8"/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4">
        <v>0</v>
      </c>
    </row>
    <row r="18" spans="1:39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1.05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5</v>
      </c>
      <c r="L18" s="4">
        <v>0</v>
      </c>
      <c r="M18" s="4">
        <v>68</v>
      </c>
      <c r="N18" s="4">
        <v>65</v>
      </c>
      <c r="O18" s="4">
        <f t="shared" si="0"/>
        <v>3</v>
      </c>
      <c r="P18" s="3">
        <v>0.05</v>
      </c>
      <c r="Q18" s="4">
        <v>0</v>
      </c>
      <c r="R18" s="4">
        <v>0</v>
      </c>
      <c r="S18" s="8"/>
      <c r="T18" s="8"/>
      <c r="U18" s="8"/>
      <c r="V18" s="4">
        <v>122</v>
      </c>
      <c r="W18" s="3">
        <v>-4.2000000000000003E-2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8"/>
      <c r="AG18" s="8"/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4">
        <v>0</v>
      </c>
    </row>
    <row r="19" spans="1:39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0.9</v>
      </c>
      <c r="F19" s="3">
        <v>1.7999999999999999E-2</v>
      </c>
      <c r="G19" s="3">
        <v>0.192</v>
      </c>
      <c r="H19" s="3">
        <v>0.192</v>
      </c>
      <c r="I19" s="4">
        <v>1</v>
      </c>
      <c r="J19" s="3">
        <v>-0.5</v>
      </c>
      <c r="K19" s="4">
        <v>109</v>
      </c>
      <c r="L19" s="4">
        <v>-1</v>
      </c>
      <c r="M19" s="4">
        <v>86</v>
      </c>
      <c r="N19" s="4">
        <v>78</v>
      </c>
      <c r="O19" s="4">
        <f t="shared" si="0"/>
        <v>8</v>
      </c>
      <c r="P19" s="3">
        <v>9.1999999999999998E-2</v>
      </c>
      <c r="Q19" s="4">
        <v>15</v>
      </c>
      <c r="R19" s="4">
        <v>30</v>
      </c>
      <c r="S19" s="3">
        <v>-0.496</v>
      </c>
      <c r="T19" s="4">
        <v>15.07</v>
      </c>
      <c r="U19" s="3">
        <v>8.0000000000000002E-3</v>
      </c>
      <c r="V19" s="4">
        <v>682</v>
      </c>
      <c r="W19" s="3">
        <v>-3.1E-2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8"/>
      <c r="AG19" s="8"/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4">
        <v>0</v>
      </c>
    </row>
    <row r="20" spans="1:39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0.84099999999999997</v>
      </c>
      <c r="F20" s="3">
        <v>5.6000000000000001E-2</v>
      </c>
      <c r="G20" s="3">
        <v>0.98799999999999999</v>
      </c>
      <c r="H20" s="3">
        <v>0.92500000000000004</v>
      </c>
      <c r="I20" s="4">
        <v>5</v>
      </c>
      <c r="J20" s="3">
        <v>1.5</v>
      </c>
      <c r="K20" s="4">
        <v>39</v>
      </c>
      <c r="L20" s="4">
        <v>3</v>
      </c>
      <c r="M20" s="4">
        <v>1295</v>
      </c>
      <c r="N20" s="4">
        <v>708</v>
      </c>
      <c r="O20" s="4">
        <f t="shared" si="0"/>
        <v>587</v>
      </c>
      <c r="P20" s="3">
        <v>0.83</v>
      </c>
      <c r="Q20" s="4">
        <v>699</v>
      </c>
      <c r="R20" s="4">
        <v>139</v>
      </c>
      <c r="S20" s="3">
        <v>4.0490000000000004</v>
      </c>
      <c r="T20" s="4">
        <v>139.85</v>
      </c>
      <c r="U20" s="3">
        <v>0.19500000000000001</v>
      </c>
      <c r="V20" s="4">
        <v>2492</v>
      </c>
      <c r="W20" s="3">
        <v>0.314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8"/>
      <c r="AG20" s="8"/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4">
        <v>0</v>
      </c>
    </row>
    <row r="21" spans="1:39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0.55700000000000005</v>
      </c>
      <c r="F21" s="3">
        <v>6.7000000000000004E-2</v>
      </c>
      <c r="G21" s="3">
        <v>0</v>
      </c>
      <c r="H21" s="3">
        <v>0</v>
      </c>
      <c r="I21" s="4">
        <v>0</v>
      </c>
      <c r="J21" s="8"/>
      <c r="K21" s="4">
        <v>28</v>
      </c>
      <c r="L21" s="4">
        <v>-2</v>
      </c>
      <c r="M21" s="4">
        <v>475</v>
      </c>
      <c r="N21" s="4">
        <v>854</v>
      </c>
      <c r="O21" s="4">
        <f t="shared" si="0"/>
        <v>-379</v>
      </c>
      <c r="P21" s="3">
        <v>-0.443</v>
      </c>
      <c r="Q21" s="4">
        <v>0</v>
      </c>
      <c r="R21" s="4">
        <v>0</v>
      </c>
      <c r="S21" s="8"/>
      <c r="T21" s="8"/>
      <c r="U21" s="8"/>
      <c r="V21" s="4">
        <v>1055</v>
      </c>
      <c r="W21" s="3">
        <v>-0.10199999999999999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8"/>
      <c r="AG21" s="8"/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4">
        <v>0</v>
      </c>
    </row>
    <row r="22" spans="1:39" x14ac:dyDescent="0.25">
      <c r="A22" s="12" t="s">
        <v>37</v>
      </c>
      <c r="B22" s="12" t="s">
        <v>48</v>
      </c>
      <c r="C22" s="5" t="s">
        <v>42</v>
      </c>
      <c r="D22" s="5"/>
      <c r="E22" s="6">
        <v>0.45500000000000002</v>
      </c>
      <c r="F22" s="6">
        <v>5.8000000000000003E-2</v>
      </c>
      <c r="G22" s="6">
        <v>0.40799999999999997</v>
      </c>
      <c r="H22" s="6">
        <v>0.30099999999999999</v>
      </c>
      <c r="I22" s="7">
        <v>9</v>
      </c>
      <c r="J22" s="6">
        <v>0.28599999999999998</v>
      </c>
      <c r="K22" s="7">
        <v>188</v>
      </c>
      <c r="L22" s="7">
        <v>-2</v>
      </c>
      <c r="M22" s="7">
        <v>2207</v>
      </c>
      <c r="N22" s="7">
        <v>2555</v>
      </c>
      <c r="O22" s="4">
        <f t="shared" si="0"/>
        <v>-348</v>
      </c>
      <c r="P22" s="6">
        <v>-0.13600000000000001</v>
      </c>
      <c r="Q22" s="7">
        <v>1043</v>
      </c>
      <c r="R22" s="7">
        <v>963</v>
      </c>
      <c r="S22" s="6">
        <v>8.3000000000000004E-2</v>
      </c>
      <c r="T22" s="7">
        <v>168.25</v>
      </c>
      <c r="U22" s="6">
        <v>-0.38</v>
      </c>
      <c r="V22" s="7">
        <v>5151</v>
      </c>
      <c r="W22" s="6">
        <v>9.2999999999999999E-2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5"/>
      <c r="AG22" s="5"/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7">
        <v>0</v>
      </c>
    </row>
    <row r="23" spans="1:39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0.90700000000000003</v>
      </c>
      <c r="F23" s="3">
        <v>5.0999999999999997E-2</v>
      </c>
      <c r="G23" s="3">
        <v>0.32400000000000001</v>
      </c>
      <c r="H23" s="3">
        <v>0.215</v>
      </c>
      <c r="I23" s="4">
        <v>12</v>
      </c>
      <c r="J23" s="3">
        <v>2</v>
      </c>
      <c r="K23" s="4">
        <v>68</v>
      </c>
      <c r="L23" s="4">
        <v>9</v>
      </c>
      <c r="M23" s="4">
        <v>14302</v>
      </c>
      <c r="N23" s="4">
        <v>11619</v>
      </c>
      <c r="O23" s="4">
        <f t="shared" si="0"/>
        <v>2683</v>
      </c>
      <c r="P23" s="3">
        <v>0.23100000000000001</v>
      </c>
      <c r="Q23" s="4">
        <v>3759</v>
      </c>
      <c r="R23" s="4">
        <v>2652</v>
      </c>
      <c r="S23" s="3">
        <v>0.41799999999999998</v>
      </c>
      <c r="T23" s="4">
        <v>313.24</v>
      </c>
      <c r="U23" s="3">
        <v>-0.52700000000000002</v>
      </c>
      <c r="V23" s="4">
        <v>10348</v>
      </c>
      <c r="W23" s="3">
        <v>0.104</v>
      </c>
      <c r="X23" s="3">
        <v>1.7000000000000001E-2</v>
      </c>
      <c r="Y23" s="3">
        <v>0.5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8"/>
      <c r="AG23" s="8"/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4">
        <v>0</v>
      </c>
    </row>
    <row r="24" spans="1:39" x14ac:dyDescent="0.25">
      <c r="A24" s="12" t="s">
        <v>37</v>
      </c>
      <c r="B24" s="12" t="s">
        <v>59</v>
      </c>
      <c r="C24" s="5" t="s">
        <v>42</v>
      </c>
      <c r="D24" s="5"/>
      <c r="E24" s="6">
        <v>0.90700000000000003</v>
      </c>
      <c r="F24" s="6">
        <v>5.0999999999999997E-2</v>
      </c>
      <c r="G24" s="6">
        <v>0.32400000000000001</v>
      </c>
      <c r="H24" s="6">
        <v>0.215</v>
      </c>
      <c r="I24" s="7">
        <v>12</v>
      </c>
      <c r="J24" s="6">
        <v>2</v>
      </c>
      <c r="K24" s="7">
        <v>68</v>
      </c>
      <c r="L24" s="7">
        <v>9</v>
      </c>
      <c r="M24" s="7">
        <v>14302</v>
      </c>
      <c r="N24" s="7">
        <v>11619</v>
      </c>
      <c r="O24" s="4">
        <f t="shared" si="0"/>
        <v>2683</v>
      </c>
      <c r="P24" s="6">
        <v>0.23100000000000001</v>
      </c>
      <c r="Q24" s="7">
        <v>3759</v>
      </c>
      <c r="R24" s="7">
        <v>2652</v>
      </c>
      <c r="S24" s="6">
        <v>0.41799999999999998</v>
      </c>
      <c r="T24" s="7">
        <v>313.24</v>
      </c>
      <c r="U24" s="6">
        <v>-0.52700000000000002</v>
      </c>
      <c r="V24" s="7">
        <v>10348</v>
      </c>
      <c r="W24" s="6">
        <v>0.104</v>
      </c>
      <c r="X24" s="6">
        <v>1.7000000000000001E-2</v>
      </c>
      <c r="Y24" s="6">
        <v>0.5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5"/>
      <c r="AG24" s="5"/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7">
        <v>0</v>
      </c>
    </row>
    <row r="25" spans="1:39" x14ac:dyDescent="0.25">
      <c r="A25" s="12" t="s">
        <v>37</v>
      </c>
      <c r="B25" s="5" t="s">
        <v>42</v>
      </c>
      <c r="C25" s="5"/>
      <c r="D25" s="5"/>
      <c r="E25" s="6">
        <v>0.94599999999999995</v>
      </c>
      <c r="F25" s="6">
        <v>4.3999999999999997E-2</v>
      </c>
      <c r="G25" s="6">
        <v>0.108</v>
      </c>
      <c r="H25" s="6">
        <v>7.5999999999999998E-2</v>
      </c>
      <c r="I25" s="7">
        <v>217</v>
      </c>
      <c r="J25" s="6">
        <v>0.33100000000000002</v>
      </c>
      <c r="K25" s="7">
        <v>3668</v>
      </c>
      <c r="L25" s="7">
        <v>57</v>
      </c>
      <c r="M25" s="7">
        <v>476705</v>
      </c>
      <c r="N25" s="7">
        <v>452325</v>
      </c>
      <c r="O25" s="4">
        <f t="shared" si="0"/>
        <v>24380</v>
      </c>
      <c r="P25" s="6">
        <v>5.3999999999999999E-2</v>
      </c>
      <c r="Q25" s="7">
        <v>48814</v>
      </c>
      <c r="R25" s="7">
        <v>49577</v>
      </c>
      <c r="S25" s="6">
        <v>-1.4999999999999999E-2</v>
      </c>
      <c r="T25" s="7">
        <v>232.14</v>
      </c>
      <c r="U25" s="6">
        <v>-0.28399999999999997</v>
      </c>
      <c r="V25" s="7">
        <v>375387</v>
      </c>
      <c r="W25" s="6">
        <v>2.9000000000000001E-2</v>
      </c>
      <c r="X25" s="6">
        <v>5.0000000000000001E-3</v>
      </c>
      <c r="Y25" s="6">
        <v>0.74299999999999999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5"/>
      <c r="AG25" s="5"/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7">
        <v>0</v>
      </c>
    </row>
    <row r="26" spans="1:39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0.97699999999999998</v>
      </c>
      <c r="F26" s="3">
        <v>4.5999999999999999E-2</v>
      </c>
      <c r="G26" s="3">
        <v>0.26300000000000001</v>
      </c>
      <c r="H26" s="3">
        <v>9.9000000000000005E-2</v>
      </c>
      <c r="I26" s="4">
        <v>5</v>
      </c>
      <c r="J26" s="3">
        <v>-0.16700000000000001</v>
      </c>
      <c r="K26" s="4">
        <v>88</v>
      </c>
      <c r="L26" s="4">
        <v>1</v>
      </c>
      <c r="M26" s="4">
        <v>4045</v>
      </c>
      <c r="N26" s="4">
        <v>3263</v>
      </c>
      <c r="O26" s="4">
        <f t="shared" si="0"/>
        <v>782</v>
      </c>
      <c r="P26" s="3">
        <v>0.24</v>
      </c>
      <c r="Q26" s="4">
        <v>857</v>
      </c>
      <c r="R26" s="4">
        <v>764</v>
      </c>
      <c r="S26" s="3">
        <v>0.122</v>
      </c>
      <c r="T26" s="4">
        <v>279.43</v>
      </c>
      <c r="U26" s="3">
        <v>0.89600000000000002</v>
      </c>
      <c r="V26" s="4">
        <v>3370</v>
      </c>
      <c r="W26" s="3">
        <v>2.5000000000000001E-2</v>
      </c>
      <c r="X26" s="3">
        <v>5.6000000000000001E-2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8"/>
      <c r="AG26" s="8"/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4">
        <v>0</v>
      </c>
    </row>
    <row r="27" spans="1:39" x14ac:dyDescent="0.25">
      <c r="A27" s="12" t="s">
        <v>61</v>
      </c>
      <c r="B27" s="12" t="s">
        <v>39</v>
      </c>
      <c r="C27" s="5" t="s">
        <v>42</v>
      </c>
      <c r="D27" s="5"/>
      <c r="E27" s="6">
        <v>0.97699999999999998</v>
      </c>
      <c r="F27" s="6">
        <v>4.5999999999999999E-2</v>
      </c>
      <c r="G27" s="6">
        <v>0.26300000000000001</v>
      </c>
      <c r="H27" s="6">
        <v>9.9000000000000005E-2</v>
      </c>
      <c r="I27" s="7">
        <v>5</v>
      </c>
      <c r="J27" s="6">
        <v>-0.16700000000000001</v>
      </c>
      <c r="K27" s="7">
        <v>88</v>
      </c>
      <c r="L27" s="7">
        <v>1</v>
      </c>
      <c r="M27" s="7">
        <v>4045</v>
      </c>
      <c r="N27" s="7">
        <v>3263</v>
      </c>
      <c r="O27" s="4">
        <f t="shared" si="0"/>
        <v>782</v>
      </c>
      <c r="P27" s="6">
        <v>0.24</v>
      </c>
      <c r="Q27" s="7">
        <v>857</v>
      </c>
      <c r="R27" s="7">
        <v>764</v>
      </c>
      <c r="S27" s="6">
        <v>0.122</v>
      </c>
      <c r="T27" s="7">
        <v>279.43</v>
      </c>
      <c r="U27" s="6">
        <v>0.89600000000000002</v>
      </c>
      <c r="V27" s="7">
        <v>3370</v>
      </c>
      <c r="W27" s="6">
        <v>2.5000000000000001E-2</v>
      </c>
      <c r="X27" s="6">
        <v>5.6000000000000001E-2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5"/>
      <c r="AG27" s="5"/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7">
        <v>0</v>
      </c>
    </row>
    <row r="28" spans="1:39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0.46700000000000003</v>
      </c>
      <c r="F28" s="3">
        <v>4.8000000000000001E-2</v>
      </c>
      <c r="G28" s="3">
        <v>0.752</v>
      </c>
      <c r="H28" s="3">
        <v>0.752</v>
      </c>
      <c r="I28" s="4">
        <v>12</v>
      </c>
      <c r="J28" s="3">
        <v>-0.25</v>
      </c>
      <c r="K28" s="4">
        <v>71</v>
      </c>
      <c r="L28" s="4">
        <v>9</v>
      </c>
      <c r="M28" s="4">
        <v>10341</v>
      </c>
      <c r="N28" s="4">
        <v>8482</v>
      </c>
      <c r="O28" s="4">
        <f t="shared" si="0"/>
        <v>1859</v>
      </c>
      <c r="P28" s="3">
        <v>0.219</v>
      </c>
      <c r="Q28" s="4">
        <v>6379</v>
      </c>
      <c r="R28" s="4">
        <v>6578</v>
      </c>
      <c r="S28" s="3">
        <v>-0.03</v>
      </c>
      <c r="T28" s="4">
        <v>531.55999999999995</v>
      </c>
      <c r="U28" s="3">
        <v>0.29299999999999998</v>
      </c>
      <c r="V28" s="4">
        <v>9189</v>
      </c>
      <c r="W28" s="3">
        <v>-0.222</v>
      </c>
      <c r="X28" s="3">
        <v>0.11</v>
      </c>
      <c r="Y28" s="3">
        <v>0.47399999999999998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8"/>
      <c r="AG28" s="8"/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4">
        <v>0</v>
      </c>
    </row>
    <row r="29" spans="1:39" x14ac:dyDescent="0.25">
      <c r="A29" s="12" t="s">
        <v>61</v>
      </c>
      <c r="B29" s="12" t="s">
        <v>43</v>
      </c>
      <c r="C29" s="5" t="s">
        <v>42</v>
      </c>
      <c r="D29" s="5"/>
      <c r="E29" s="6">
        <v>0.46700000000000003</v>
      </c>
      <c r="F29" s="6">
        <v>4.8000000000000001E-2</v>
      </c>
      <c r="G29" s="6">
        <v>0.752</v>
      </c>
      <c r="H29" s="6">
        <v>0.752</v>
      </c>
      <c r="I29" s="7">
        <v>12</v>
      </c>
      <c r="J29" s="6">
        <v>-0.25</v>
      </c>
      <c r="K29" s="7">
        <v>71</v>
      </c>
      <c r="L29" s="7">
        <v>9</v>
      </c>
      <c r="M29" s="7">
        <v>10341</v>
      </c>
      <c r="N29" s="7">
        <v>8482</v>
      </c>
      <c r="O29" s="4">
        <f t="shared" si="0"/>
        <v>1859</v>
      </c>
      <c r="P29" s="6">
        <v>0.219</v>
      </c>
      <c r="Q29" s="7">
        <v>6379</v>
      </c>
      <c r="R29" s="7">
        <v>6578</v>
      </c>
      <c r="S29" s="6">
        <v>-0.03</v>
      </c>
      <c r="T29" s="7">
        <v>531.55999999999995</v>
      </c>
      <c r="U29" s="6">
        <v>0.29299999999999998</v>
      </c>
      <c r="V29" s="7">
        <v>9189</v>
      </c>
      <c r="W29" s="6">
        <v>-0.222</v>
      </c>
      <c r="X29" s="6">
        <v>0.11</v>
      </c>
      <c r="Y29" s="6">
        <v>0.47399999999999998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5"/>
      <c r="AG29" s="5"/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0</v>
      </c>
    </row>
    <row r="30" spans="1:39" x14ac:dyDescent="0.25">
      <c r="A30" s="12" t="s">
        <v>61</v>
      </c>
      <c r="B30" s="12" t="s">
        <v>64</v>
      </c>
      <c r="C30" s="2" t="s">
        <v>65</v>
      </c>
      <c r="D30" s="2" t="s">
        <v>65</v>
      </c>
      <c r="E30" s="3">
        <v>0.94199999999999995</v>
      </c>
      <c r="F30" s="3">
        <v>0.104</v>
      </c>
      <c r="G30" s="3">
        <v>6.0999999999999999E-2</v>
      </c>
      <c r="H30" s="3">
        <v>6.0999999999999999E-2</v>
      </c>
      <c r="I30" s="4">
        <v>2</v>
      </c>
      <c r="J30" s="3">
        <v>0</v>
      </c>
      <c r="K30" s="4">
        <v>45</v>
      </c>
      <c r="L30" s="4">
        <v>-3</v>
      </c>
      <c r="M30" s="4">
        <v>16991</v>
      </c>
      <c r="N30" s="4">
        <v>16929</v>
      </c>
      <c r="O30" s="4">
        <f t="shared" si="0"/>
        <v>62</v>
      </c>
      <c r="P30" s="3">
        <v>4.0000000000000001E-3</v>
      </c>
      <c r="Q30" s="4">
        <v>1038</v>
      </c>
      <c r="R30" s="4">
        <v>1398</v>
      </c>
      <c r="S30" s="3">
        <v>-0.25800000000000001</v>
      </c>
      <c r="T30" s="4">
        <v>518.79999999999995</v>
      </c>
      <c r="U30" s="3">
        <v>-0.25800000000000001</v>
      </c>
      <c r="V30" s="4">
        <v>16436</v>
      </c>
      <c r="W30" s="3">
        <v>-8.7999999999999995E-2</v>
      </c>
      <c r="X30" s="3">
        <v>0</v>
      </c>
      <c r="Y30" s="3">
        <v>2.04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8"/>
      <c r="AG30" s="8"/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4">
        <v>0</v>
      </c>
    </row>
    <row r="31" spans="1:39" x14ac:dyDescent="0.25">
      <c r="A31" s="12" t="s">
        <v>61</v>
      </c>
      <c r="B31" s="12" t="s">
        <v>64</v>
      </c>
      <c r="C31" s="5" t="s">
        <v>42</v>
      </c>
      <c r="D31" s="5"/>
      <c r="E31" s="6">
        <v>0.94199999999999995</v>
      </c>
      <c r="F31" s="6">
        <v>0.104</v>
      </c>
      <c r="G31" s="6">
        <v>6.0999999999999999E-2</v>
      </c>
      <c r="H31" s="6">
        <v>6.0999999999999999E-2</v>
      </c>
      <c r="I31" s="7">
        <v>2</v>
      </c>
      <c r="J31" s="6">
        <v>0</v>
      </c>
      <c r="K31" s="7">
        <v>45</v>
      </c>
      <c r="L31" s="7">
        <v>-3</v>
      </c>
      <c r="M31" s="7">
        <v>16991</v>
      </c>
      <c r="N31" s="7">
        <v>16929</v>
      </c>
      <c r="O31" s="4">
        <f t="shared" si="0"/>
        <v>62</v>
      </c>
      <c r="P31" s="6">
        <v>4.0000000000000001E-3</v>
      </c>
      <c r="Q31" s="7">
        <v>1038</v>
      </c>
      <c r="R31" s="7">
        <v>1398</v>
      </c>
      <c r="S31" s="6">
        <v>-0.25800000000000001</v>
      </c>
      <c r="T31" s="7">
        <v>518.79999999999995</v>
      </c>
      <c r="U31" s="6">
        <v>-0.25800000000000001</v>
      </c>
      <c r="V31" s="7">
        <v>16436</v>
      </c>
      <c r="W31" s="6">
        <v>-8.7999999999999995E-2</v>
      </c>
      <c r="X31" s="6">
        <v>0</v>
      </c>
      <c r="Y31" s="6">
        <v>2.04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5"/>
      <c r="AG31" s="5"/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0</v>
      </c>
    </row>
    <row r="32" spans="1:39" x14ac:dyDescent="0.25">
      <c r="A32" s="12" t="s">
        <v>61</v>
      </c>
      <c r="B32" s="12" t="s">
        <v>66</v>
      </c>
      <c r="C32" s="2" t="s">
        <v>55</v>
      </c>
      <c r="D32" s="2" t="s">
        <v>67</v>
      </c>
      <c r="E32" s="3">
        <v>0.90100000000000002</v>
      </c>
      <c r="F32" s="3">
        <v>2.1000000000000001E-2</v>
      </c>
      <c r="G32" s="3">
        <v>5.7000000000000002E-2</v>
      </c>
      <c r="H32" s="3">
        <v>5.7000000000000002E-2</v>
      </c>
      <c r="I32" s="4">
        <v>1</v>
      </c>
      <c r="J32" s="3">
        <v>-0.66700000000000004</v>
      </c>
      <c r="K32" s="4">
        <v>48</v>
      </c>
      <c r="L32" s="4">
        <v>0</v>
      </c>
      <c r="M32" s="4">
        <v>29412</v>
      </c>
      <c r="N32" s="4">
        <v>30725</v>
      </c>
      <c r="O32" s="4">
        <f t="shared" si="0"/>
        <v>-1313</v>
      </c>
      <c r="P32" s="3">
        <v>-4.2999999999999997E-2</v>
      </c>
      <c r="Q32" s="4">
        <v>1743</v>
      </c>
      <c r="R32" s="4">
        <v>1536</v>
      </c>
      <c r="S32" s="3">
        <v>0.13500000000000001</v>
      </c>
      <c r="T32" s="4">
        <v>1743.17</v>
      </c>
      <c r="U32" s="3">
        <v>2.4039999999999999</v>
      </c>
      <c r="V32" s="4">
        <v>19200</v>
      </c>
      <c r="W32" s="3">
        <v>-2.7E-2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8"/>
      <c r="AG32" s="8"/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4">
        <v>0</v>
      </c>
    </row>
    <row r="33" spans="1:39" x14ac:dyDescent="0.25">
      <c r="A33" s="12" t="s">
        <v>61</v>
      </c>
      <c r="B33" s="12" t="s">
        <v>66</v>
      </c>
      <c r="C33" s="5" t="s">
        <v>42</v>
      </c>
      <c r="D33" s="5"/>
      <c r="E33" s="6">
        <v>0.90100000000000002</v>
      </c>
      <c r="F33" s="6">
        <v>2.1000000000000001E-2</v>
      </c>
      <c r="G33" s="6">
        <v>5.7000000000000002E-2</v>
      </c>
      <c r="H33" s="6">
        <v>5.7000000000000002E-2</v>
      </c>
      <c r="I33" s="7">
        <v>1</v>
      </c>
      <c r="J33" s="6">
        <v>-0.66700000000000004</v>
      </c>
      <c r="K33" s="7">
        <v>48</v>
      </c>
      <c r="L33" s="7">
        <v>0</v>
      </c>
      <c r="M33" s="7">
        <v>29412</v>
      </c>
      <c r="N33" s="7">
        <v>30725</v>
      </c>
      <c r="O33" s="4">
        <f t="shared" si="0"/>
        <v>-1313</v>
      </c>
      <c r="P33" s="6">
        <v>-4.2999999999999997E-2</v>
      </c>
      <c r="Q33" s="7">
        <v>1743</v>
      </c>
      <c r="R33" s="7">
        <v>1536</v>
      </c>
      <c r="S33" s="6">
        <v>0.13500000000000001</v>
      </c>
      <c r="T33" s="7">
        <v>1743.17</v>
      </c>
      <c r="U33" s="6">
        <v>2.4039999999999999</v>
      </c>
      <c r="V33" s="7">
        <v>19200</v>
      </c>
      <c r="W33" s="6">
        <v>-2.7E-2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5"/>
      <c r="AG33" s="5"/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7">
        <v>0</v>
      </c>
    </row>
    <row r="34" spans="1:39" x14ac:dyDescent="0.25">
      <c r="A34" s="12" t="s">
        <v>61</v>
      </c>
      <c r="B34" s="12" t="s">
        <v>68</v>
      </c>
      <c r="C34" s="2" t="s">
        <v>69</v>
      </c>
      <c r="D34" s="2" t="s">
        <v>70</v>
      </c>
      <c r="E34" s="3">
        <v>1.002</v>
      </c>
      <c r="F34" s="3">
        <v>0</v>
      </c>
      <c r="G34" s="3">
        <v>0</v>
      </c>
      <c r="H34" s="3">
        <v>0</v>
      </c>
      <c r="I34" s="4">
        <v>0</v>
      </c>
      <c r="J34" s="3">
        <v>-1</v>
      </c>
      <c r="K34" s="4">
        <v>14</v>
      </c>
      <c r="L34" s="4">
        <v>0</v>
      </c>
      <c r="M34" s="4">
        <v>2806</v>
      </c>
      <c r="N34" s="4">
        <v>2801</v>
      </c>
      <c r="O34" s="4">
        <f t="shared" si="0"/>
        <v>5</v>
      </c>
      <c r="P34" s="3">
        <v>2E-3</v>
      </c>
      <c r="Q34" s="4">
        <v>0</v>
      </c>
      <c r="R34" s="4">
        <v>350</v>
      </c>
      <c r="S34" s="3">
        <v>-1</v>
      </c>
      <c r="T34" s="8"/>
      <c r="U34" s="8"/>
      <c r="V34" s="4">
        <v>2192</v>
      </c>
      <c r="W34" s="3">
        <v>3.0000000000000001E-3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8"/>
      <c r="AG34" s="8"/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4">
        <v>0</v>
      </c>
    </row>
    <row r="35" spans="1:39" x14ac:dyDescent="0.25">
      <c r="A35" s="12" t="s">
        <v>61</v>
      </c>
      <c r="B35" s="12" t="s">
        <v>68</v>
      </c>
      <c r="C35" s="5" t="s">
        <v>42</v>
      </c>
      <c r="D35" s="5"/>
      <c r="E35" s="6">
        <v>1.002</v>
      </c>
      <c r="F35" s="6">
        <v>0</v>
      </c>
      <c r="G35" s="6">
        <v>0</v>
      </c>
      <c r="H35" s="6">
        <v>0</v>
      </c>
      <c r="I35" s="7">
        <v>0</v>
      </c>
      <c r="J35" s="6">
        <v>-1</v>
      </c>
      <c r="K35" s="7">
        <v>14</v>
      </c>
      <c r="L35" s="7">
        <v>0</v>
      </c>
      <c r="M35" s="7">
        <v>2806</v>
      </c>
      <c r="N35" s="7">
        <v>2801</v>
      </c>
      <c r="O35" s="4">
        <f t="shared" si="0"/>
        <v>5</v>
      </c>
      <c r="P35" s="6">
        <v>2E-3</v>
      </c>
      <c r="Q35" s="7">
        <v>0</v>
      </c>
      <c r="R35" s="7">
        <v>350</v>
      </c>
      <c r="S35" s="6">
        <v>-1</v>
      </c>
      <c r="T35" s="5"/>
      <c r="U35" s="5"/>
      <c r="V35" s="7">
        <v>2192</v>
      </c>
      <c r="W35" s="6">
        <v>3.0000000000000001E-3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5"/>
      <c r="AG35" s="5"/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7">
        <v>0</v>
      </c>
    </row>
    <row r="36" spans="1:39" x14ac:dyDescent="0.25">
      <c r="A36" s="12" t="s">
        <v>61</v>
      </c>
      <c r="B36" s="12" t="s">
        <v>46</v>
      </c>
      <c r="C36" s="2" t="s">
        <v>71</v>
      </c>
      <c r="D36" s="2" t="s">
        <v>71</v>
      </c>
      <c r="E36" s="3">
        <v>1.07</v>
      </c>
      <c r="F36" s="3">
        <v>1.4999999999999999E-2</v>
      </c>
      <c r="G36" s="3">
        <v>0.03</v>
      </c>
      <c r="H36" s="3">
        <v>0</v>
      </c>
      <c r="I36" s="4">
        <v>1</v>
      </c>
      <c r="J36" s="3">
        <v>-0.75</v>
      </c>
      <c r="K36" s="4">
        <v>66</v>
      </c>
      <c r="L36" s="4">
        <v>0</v>
      </c>
      <c r="M36" s="4">
        <v>9980</v>
      </c>
      <c r="N36" s="4">
        <v>9075</v>
      </c>
      <c r="O36" s="4">
        <f t="shared" si="0"/>
        <v>905</v>
      </c>
      <c r="P36" s="3">
        <v>0.1</v>
      </c>
      <c r="Q36" s="4">
        <v>271</v>
      </c>
      <c r="R36" s="4">
        <v>1579</v>
      </c>
      <c r="S36" s="3">
        <v>-0.82899999999999996</v>
      </c>
      <c r="T36" s="4">
        <v>270.68</v>
      </c>
      <c r="U36" s="3">
        <v>-0.314</v>
      </c>
      <c r="V36" s="4">
        <v>11469</v>
      </c>
      <c r="W36" s="3">
        <v>7.5999999999999998E-2</v>
      </c>
      <c r="X36" s="3">
        <v>1.4999999999999999E-2</v>
      </c>
      <c r="Y36" s="3">
        <v>2.0209999999999999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8"/>
      <c r="AG36" s="8"/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4">
        <v>0</v>
      </c>
    </row>
    <row r="37" spans="1:39" x14ac:dyDescent="0.25">
      <c r="A37" s="12" t="s">
        <v>61</v>
      </c>
      <c r="B37" s="12" t="s">
        <v>46</v>
      </c>
      <c r="C37" s="2" t="s">
        <v>72</v>
      </c>
      <c r="D37" s="2" t="s">
        <v>72</v>
      </c>
      <c r="E37" s="3">
        <v>0.78800000000000003</v>
      </c>
      <c r="F37" s="3">
        <v>9.7000000000000003E-2</v>
      </c>
      <c r="G37" s="3">
        <v>0.28899999999999998</v>
      </c>
      <c r="H37" s="3">
        <v>0.25600000000000001</v>
      </c>
      <c r="I37" s="4">
        <v>3</v>
      </c>
      <c r="J37" s="3">
        <v>2</v>
      </c>
      <c r="K37" s="4">
        <v>31</v>
      </c>
      <c r="L37" s="4">
        <v>0</v>
      </c>
      <c r="M37" s="4">
        <v>3403</v>
      </c>
      <c r="N37" s="4">
        <v>3158</v>
      </c>
      <c r="O37" s="4">
        <f t="shared" si="0"/>
        <v>245</v>
      </c>
      <c r="P37" s="3">
        <v>7.6999999999999999E-2</v>
      </c>
      <c r="Q37" s="4">
        <v>914</v>
      </c>
      <c r="R37" s="4">
        <v>187</v>
      </c>
      <c r="S37" s="3">
        <v>3.8889999999999998</v>
      </c>
      <c r="T37" s="4">
        <v>304.56</v>
      </c>
      <c r="U37" s="3">
        <v>0.63</v>
      </c>
      <c r="V37" s="4">
        <v>2553</v>
      </c>
      <c r="W37" s="3">
        <v>7.3999999999999996E-2</v>
      </c>
      <c r="X37" s="3">
        <v>0</v>
      </c>
      <c r="Y37" s="3">
        <v>0.88800000000000001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8"/>
      <c r="AG37" s="8"/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4">
        <v>0</v>
      </c>
    </row>
    <row r="38" spans="1:39" x14ac:dyDescent="0.25">
      <c r="A38" s="12" t="s">
        <v>61</v>
      </c>
      <c r="B38" s="12" t="s">
        <v>46</v>
      </c>
      <c r="C38" s="5" t="s">
        <v>42</v>
      </c>
      <c r="D38" s="5"/>
      <c r="E38" s="6">
        <v>0.997</v>
      </c>
      <c r="F38" s="6">
        <v>4.1000000000000002E-2</v>
      </c>
      <c r="G38" s="6">
        <v>9.7000000000000003E-2</v>
      </c>
      <c r="H38" s="6">
        <v>6.6000000000000003E-2</v>
      </c>
      <c r="I38" s="7">
        <v>4</v>
      </c>
      <c r="J38" s="6">
        <v>-0.2</v>
      </c>
      <c r="K38" s="7">
        <v>97</v>
      </c>
      <c r="L38" s="7">
        <v>0</v>
      </c>
      <c r="M38" s="7">
        <v>13382</v>
      </c>
      <c r="N38" s="7">
        <v>12233</v>
      </c>
      <c r="O38" s="4">
        <f t="shared" si="0"/>
        <v>1149</v>
      </c>
      <c r="P38" s="6">
        <v>9.4E-2</v>
      </c>
      <c r="Q38" s="7">
        <v>1184</v>
      </c>
      <c r="R38" s="7">
        <v>1766</v>
      </c>
      <c r="S38" s="6">
        <v>-0.32900000000000001</v>
      </c>
      <c r="T38" s="7">
        <v>296.08999999999997</v>
      </c>
      <c r="U38" s="6">
        <v>-0.16200000000000001</v>
      </c>
      <c r="V38" s="7">
        <v>14022</v>
      </c>
      <c r="W38" s="6">
        <v>7.5999999999999998E-2</v>
      </c>
      <c r="X38" s="6">
        <v>1.2E-2</v>
      </c>
      <c r="Y38" s="6">
        <v>1.8149999999999999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5"/>
      <c r="AG38" s="5"/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7">
        <v>0</v>
      </c>
    </row>
    <row r="39" spans="1:39" ht="33.75" x14ac:dyDescent="0.25">
      <c r="A39" s="12" t="s">
        <v>61</v>
      </c>
      <c r="B39" s="12" t="s">
        <v>73</v>
      </c>
      <c r="C39" s="2" t="s">
        <v>73</v>
      </c>
      <c r="D39" s="2" t="s">
        <v>74</v>
      </c>
      <c r="E39" s="3">
        <v>0.16500000000000001</v>
      </c>
      <c r="F39" s="3">
        <v>0</v>
      </c>
      <c r="G39" s="3">
        <v>0</v>
      </c>
      <c r="H39" s="3">
        <v>0</v>
      </c>
      <c r="I39" s="4">
        <v>0</v>
      </c>
      <c r="J39" s="3">
        <v>-1</v>
      </c>
      <c r="K39" s="4">
        <v>9</v>
      </c>
      <c r="L39" s="4">
        <v>0</v>
      </c>
      <c r="M39" s="4">
        <v>453</v>
      </c>
      <c r="N39" s="4">
        <v>2743</v>
      </c>
      <c r="O39" s="4">
        <f t="shared" si="0"/>
        <v>-2290</v>
      </c>
      <c r="P39" s="3">
        <v>-0.83499999999999996</v>
      </c>
      <c r="Q39" s="4">
        <v>0</v>
      </c>
      <c r="R39" s="4">
        <v>404</v>
      </c>
      <c r="S39" s="3">
        <v>-1</v>
      </c>
      <c r="T39" s="8"/>
      <c r="U39" s="8"/>
      <c r="V39" s="4">
        <v>1664</v>
      </c>
      <c r="W39" s="3">
        <v>-0.308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8"/>
      <c r="AG39" s="8"/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4">
        <v>0</v>
      </c>
    </row>
    <row r="40" spans="1:39" x14ac:dyDescent="0.25">
      <c r="A40" s="12" t="s">
        <v>61</v>
      </c>
      <c r="B40" s="12" t="s">
        <v>73</v>
      </c>
      <c r="C40" s="5" t="s">
        <v>42</v>
      </c>
      <c r="D40" s="5"/>
      <c r="E40" s="6">
        <v>0.16500000000000001</v>
      </c>
      <c r="F40" s="6">
        <v>0</v>
      </c>
      <c r="G40" s="6">
        <v>0</v>
      </c>
      <c r="H40" s="6">
        <v>0</v>
      </c>
      <c r="I40" s="7">
        <v>0</v>
      </c>
      <c r="J40" s="6">
        <v>-1</v>
      </c>
      <c r="K40" s="7">
        <v>9</v>
      </c>
      <c r="L40" s="7">
        <v>0</v>
      </c>
      <c r="M40" s="7">
        <v>453</v>
      </c>
      <c r="N40" s="7">
        <v>2743</v>
      </c>
      <c r="O40" s="4">
        <f t="shared" si="0"/>
        <v>-2290</v>
      </c>
      <c r="P40" s="6">
        <v>-0.83499999999999996</v>
      </c>
      <c r="Q40" s="7">
        <v>0</v>
      </c>
      <c r="R40" s="7">
        <v>404</v>
      </c>
      <c r="S40" s="6">
        <v>-1</v>
      </c>
      <c r="T40" s="5"/>
      <c r="U40" s="5"/>
      <c r="V40" s="7">
        <v>1664</v>
      </c>
      <c r="W40" s="6">
        <v>-0.308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5"/>
      <c r="AG40" s="5"/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0</v>
      </c>
    </row>
    <row r="41" spans="1:39" x14ac:dyDescent="0.25">
      <c r="A41" s="12" t="s">
        <v>61</v>
      </c>
      <c r="B41" s="5" t="s">
        <v>42</v>
      </c>
      <c r="C41" s="5"/>
      <c r="D41" s="5"/>
      <c r="E41" s="6">
        <v>0.85799999999999998</v>
      </c>
      <c r="F41" s="6">
        <v>4.7E-2</v>
      </c>
      <c r="G41" s="6">
        <v>0.14499999999999999</v>
      </c>
      <c r="H41" s="6">
        <v>0.13300000000000001</v>
      </c>
      <c r="I41" s="7">
        <v>24</v>
      </c>
      <c r="J41" s="6">
        <v>-0.314</v>
      </c>
      <c r="K41" s="7">
        <v>372</v>
      </c>
      <c r="L41" s="7">
        <v>7</v>
      </c>
      <c r="M41" s="7">
        <v>77431</v>
      </c>
      <c r="N41" s="7">
        <v>77176</v>
      </c>
      <c r="O41" s="4">
        <f t="shared" si="0"/>
        <v>255</v>
      </c>
      <c r="P41" s="6">
        <v>3.0000000000000001E-3</v>
      </c>
      <c r="Q41" s="7">
        <v>11201</v>
      </c>
      <c r="R41" s="7">
        <v>12796</v>
      </c>
      <c r="S41" s="6">
        <v>-0.125</v>
      </c>
      <c r="T41" s="7">
        <v>507.57</v>
      </c>
      <c r="U41" s="6">
        <v>0.318</v>
      </c>
      <c r="V41" s="7">
        <v>66074</v>
      </c>
      <c r="W41" s="6">
        <v>-6.3E-2</v>
      </c>
      <c r="X41" s="6">
        <v>2.4E-2</v>
      </c>
      <c r="Y41" s="6">
        <v>0.95799999999999996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5"/>
      <c r="AG41" s="5"/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7">
        <v>0</v>
      </c>
    </row>
    <row r="42" spans="1:39" x14ac:dyDescent="0.25">
      <c r="A42" s="2" t="s">
        <v>75</v>
      </c>
      <c r="B42" s="2" t="s">
        <v>75</v>
      </c>
      <c r="C42" s="2" t="s">
        <v>75</v>
      </c>
      <c r="D42" s="2" t="s">
        <v>75</v>
      </c>
      <c r="E42" s="6">
        <v>0.93300000000000005</v>
      </c>
      <c r="F42" s="6">
        <v>4.4999999999999998E-2</v>
      </c>
      <c r="G42" s="6">
        <v>0.113</v>
      </c>
      <c r="H42" s="6">
        <v>8.4000000000000005E-2</v>
      </c>
      <c r="I42" s="7">
        <v>241</v>
      </c>
      <c r="J42" s="6">
        <v>0.217</v>
      </c>
      <c r="K42" s="7">
        <v>4040</v>
      </c>
      <c r="L42" s="7">
        <v>64</v>
      </c>
      <c r="M42" s="7">
        <v>554136</v>
      </c>
      <c r="N42" s="7">
        <v>529500</v>
      </c>
      <c r="O42" s="4">
        <f t="shared" si="0"/>
        <v>24636</v>
      </c>
      <c r="P42" s="6">
        <v>4.7E-2</v>
      </c>
      <c r="Q42" s="7">
        <v>60016</v>
      </c>
      <c r="R42" s="7">
        <v>62373</v>
      </c>
      <c r="S42" s="6">
        <v>-3.7999999999999999E-2</v>
      </c>
      <c r="T42" s="7">
        <v>258.3</v>
      </c>
      <c r="U42" s="6">
        <v>-0.22900000000000001</v>
      </c>
      <c r="V42" s="7">
        <v>441461</v>
      </c>
      <c r="W42" s="6">
        <v>1.4E-2</v>
      </c>
      <c r="X42" s="6">
        <v>8.0000000000000002E-3</v>
      </c>
      <c r="Y42" s="6">
        <v>0.77500000000000002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5"/>
      <c r="AG42" s="5"/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7">
        <v>0</v>
      </c>
    </row>
    <row r="44" spans="1:39" x14ac:dyDescent="0.25">
      <c r="A44" t="s">
        <v>76</v>
      </c>
      <c r="B44" t="s">
        <v>76</v>
      </c>
      <c r="C44" t="s">
        <v>76</v>
      </c>
    </row>
    <row r="45" spans="1:39" x14ac:dyDescent="0.25">
      <c r="A45" s="9" t="s">
        <v>95</v>
      </c>
      <c r="B45" s="9" t="s">
        <v>94</v>
      </c>
    </row>
  </sheetData>
  <mergeCells count="18">
    <mergeCell ref="A4:AM4"/>
    <mergeCell ref="A5:AM5"/>
    <mergeCell ref="A7:A25"/>
    <mergeCell ref="A26:A41"/>
    <mergeCell ref="B7:B9"/>
    <mergeCell ref="B10:B11"/>
    <mergeCell ref="B12:B13"/>
    <mergeCell ref="B14:B15"/>
    <mergeCell ref="B34:B35"/>
    <mergeCell ref="B36:B38"/>
    <mergeCell ref="B16:B22"/>
    <mergeCell ref="B23:B24"/>
    <mergeCell ref="B26:B27"/>
    <mergeCell ref="B28:B29"/>
    <mergeCell ref="B30:B31"/>
    <mergeCell ref="B32:B33"/>
    <mergeCell ref="B39:B40"/>
    <mergeCell ref="C19:C20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00CC-87DA-43DB-A787-ED9029362BE7}">
  <dimension ref="A4:AL45"/>
  <sheetViews>
    <sheetView topLeftCell="E31" workbookViewId="0">
      <selection activeCell="AL43" sqref="AL43"/>
    </sheetView>
  </sheetViews>
  <sheetFormatPr baseColWidth="10" defaultRowHeight="15" x14ac:dyDescent="0.25"/>
  <sheetData>
    <row r="4" spans="1:38" x14ac:dyDescent="0.25">
      <c r="A4" s="10" t="s">
        <v>96</v>
      </c>
      <c r="B4" s="10" t="s">
        <v>96</v>
      </c>
      <c r="C4" s="10" t="s">
        <v>96</v>
      </c>
      <c r="D4" s="10" t="s">
        <v>96</v>
      </c>
      <c r="E4" s="10" t="s">
        <v>96</v>
      </c>
      <c r="F4" s="10" t="s">
        <v>96</v>
      </c>
      <c r="G4" s="10" t="s">
        <v>96</v>
      </c>
      <c r="H4" s="10" t="s">
        <v>96</v>
      </c>
      <c r="I4" s="10" t="s">
        <v>96</v>
      </c>
      <c r="J4" s="10" t="s">
        <v>96</v>
      </c>
      <c r="K4" s="10" t="s">
        <v>96</v>
      </c>
      <c r="L4" s="10" t="s">
        <v>96</v>
      </c>
      <c r="M4" s="10" t="s">
        <v>96</v>
      </c>
      <c r="N4" s="10" t="s">
        <v>96</v>
      </c>
      <c r="O4" s="10" t="s">
        <v>96</v>
      </c>
      <c r="P4" s="10" t="s">
        <v>96</v>
      </c>
      <c r="Q4" s="10" t="s">
        <v>96</v>
      </c>
      <c r="R4" s="10" t="s">
        <v>96</v>
      </c>
      <c r="S4" s="10" t="s">
        <v>96</v>
      </c>
      <c r="T4" s="10" t="s">
        <v>96</v>
      </c>
      <c r="U4" s="10" t="s">
        <v>96</v>
      </c>
      <c r="V4" s="10" t="s">
        <v>96</v>
      </c>
      <c r="W4" s="10" t="s">
        <v>96</v>
      </c>
      <c r="X4" s="10" t="s">
        <v>96</v>
      </c>
      <c r="Y4" s="10" t="s">
        <v>96</v>
      </c>
      <c r="Z4" s="10" t="s">
        <v>96</v>
      </c>
      <c r="AA4" s="10" t="s">
        <v>96</v>
      </c>
      <c r="AB4" s="10" t="s">
        <v>96</v>
      </c>
      <c r="AC4" s="10" t="s">
        <v>96</v>
      </c>
      <c r="AD4" s="10" t="s">
        <v>96</v>
      </c>
      <c r="AE4" s="10" t="s">
        <v>96</v>
      </c>
      <c r="AF4" s="10" t="s">
        <v>96</v>
      </c>
      <c r="AG4" s="10" t="s">
        <v>96</v>
      </c>
      <c r="AH4" s="10" t="s">
        <v>96</v>
      </c>
      <c r="AI4" s="10" t="s">
        <v>96</v>
      </c>
      <c r="AJ4" s="10" t="s">
        <v>96</v>
      </c>
      <c r="AK4" s="10" t="s">
        <v>96</v>
      </c>
      <c r="AL4" s="10" t="s">
        <v>96</v>
      </c>
    </row>
    <row r="5" spans="1:38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 t="s">
        <v>1</v>
      </c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92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1.0309999999999999</v>
      </c>
      <c r="F7" s="3">
        <v>0</v>
      </c>
      <c r="G7" s="3">
        <v>0.185</v>
      </c>
      <c r="H7" s="3">
        <v>0.128</v>
      </c>
      <c r="I7" s="4">
        <v>2</v>
      </c>
      <c r="J7" s="8"/>
      <c r="K7" s="4">
        <v>24</v>
      </c>
      <c r="L7" s="4">
        <v>2</v>
      </c>
      <c r="M7" s="4">
        <v>1421</v>
      </c>
      <c r="N7" s="4">
        <v>1168</v>
      </c>
      <c r="O7" s="3">
        <v>0.216</v>
      </c>
      <c r="P7" s="4">
        <v>217</v>
      </c>
      <c r="Q7" s="4">
        <v>0</v>
      </c>
      <c r="R7" s="8"/>
      <c r="S7" s="4">
        <v>108.32</v>
      </c>
      <c r="T7" s="8"/>
      <c r="U7" s="4">
        <v>1252</v>
      </c>
      <c r="V7" s="3">
        <v>-4.8000000000000001E-2</v>
      </c>
      <c r="W7" s="3">
        <v>0</v>
      </c>
      <c r="X7" s="3">
        <v>0</v>
      </c>
      <c r="Y7" s="3">
        <v>0.22900000000000001</v>
      </c>
      <c r="Z7" s="3">
        <v>0.22900000000000001</v>
      </c>
      <c r="AA7" s="3">
        <v>0</v>
      </c>
      <c r="AB7" s="3">
        <v>0.22900000000000001</v>
      </c>
      <c r="AC7" s="3">
        <v>0.22900000000000001</v>
      </c>
      <c r="AD7" s="3">
        <v>0</v>
      </c>
      <c r="AE7" s="3">
        <v>0</v>
      </c>
      <c r="AF7" s="8"/>
      <c r="AG7" s="8"/>
      <c r="AH7" s="3">
        <v>0.44500000000000001</v>
      </c>
      <c r="AI7" s="3">
        <v>0.44700000000000001</v>
      </c>
      <c r="AJ7" s="3">
        <v>-2E-3</v>
      </c>
      <c r="AK7" s="3">
        <v>0.61280000000000001</v>
      </c>
      <c r="AL7" s="4">
        <v>485</v>
      </c>
    </row>
    <row r="8" spans="1:38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0.98699999999999999</v>
      </c>
      <c r="F8" s="3">
        <v>0.02</v>
      </c>
      <c r="G8" s="3">
        <v>0</v>
      </c>
      <c r="H8" s="3">
        <v>0</v>
      </c>
      <c r="I8" s="4">
        <v>0</v>
      </c>
      <c r="J8" s="3">
        <v>-1</v>
      </c>
      <c r="K8" s="4">
        <v>48</v>
      </c>
      <c r="L8" s="4">
        <v>-1</v>
      </c>
      <c r="M8" s="4">
        <v>3114</v>
      </c>
      <c r="N8" s="4">
        <v>3155</v>
      </c>
      <c r="O8" s="3">
        <v>-1.2999999999999999E-2</v>
      </c>
      <c r="P8" s="4">
        <v>0</v>
      </c>
      <c r="Q8" s="4">
        <v>334</v>
      </c>
      <c r="R8" s="3">
        <v>-1</v>
      </c>
      <c r="S8" s="8"/>
      <c r="T8" s="8"/>
      <c r="U8" s="4">
        <v>2838</v>
      </c>
      <c r="V8" s="3">
        <v>0.112</v>
      </c>
      <c r="W8" s="3">
        <v>0</v>
      </c>
      <c r="X8" s="3">
        <v>0</v>
      </c>
      <c r="Y8" s="3">
        <v>-4.0000000000000001E-3</v>
      </c>
      <c r="Z8" s="3">
        <v>-4.0000000000000001E-3</v>
      </c>
      <c r="AA8" s="3">
        <v>0</v>
      </c>
      <c r="AB8" s="3">
        <v>-4.0000000000000001E-3</v>
      </c>
      <c r="AC8" s="3">
        <v>-4.0000000000000001E-3</v>
      </c>
      <c r="AD8" s="3">
        <v>0</v>
      </c>
      <c r="AE8" s="8"/>
      <c r="AF8" s="3">
        <v>0</v>
      </c>
      <c r="AG8" s="8"/>
      <c r="AH8" s="3">
        <v>0.25900000000000001</v>
      </c>
      <c r="AI8" s="3">
        <v>0.27200000000000002</v>
      </c>
      <c r="AJ8" s="3">
        <v>-1.4E-2</v>
      </c>
      <c r="AK8" s="3">
        <v>0.5857</v>
      </c>
      <c r="AL8" s="4">
        <v>1176</v>
      </c>
    </row>
    <row r="9" spans="1:38" x14ac:dyDescent="0.25">
      <c r="A9" s="12" t="s">
        <v>37</v>
      </c>
      <c r="B9" s="12" t="s">
        <v>38</v>
      </c>
      <c r="C9" s="5" t="s">
        <v>42</v>
      </c>
      <c r="D9" s="5"/>
      <c r="E9" s="6">
        <v>0.999</v>
      </c>
      <c r="F9" s="6">
        <v>1.4E-2</v>
      </c>
      <c r="G9" s="6">
        <v>0.05</v>
      </c>
      <c r="H9" s="6">
        <v>3.5000000000000003E-2</v>
      </c>
      <c r="I9" s="7">
        <v>2</v>
      </c>
      <c r="J9" s="6">
        <v>0</v>
      </c>
      <c r="K9" s="7">
        <v>72</v>
      </c>
      <c r="L9" s="7">
        <v>1</v>
      </c>
      <c r="M9" s="7">
        <v>4535</v>
      </c>
      <c r="N9" s="7">
        <v>4323</v>
      </c>
      <c r="O9" s="6">
        <v>4.9000000000000002E-2</v>
      </c>
      <c r="P9" s="7">
        <v>217</v>
      </c>
      <c r="Q9" s="7">
        <v>334</v>
      </c>
      <c r="R9" s="6">
        <v>-0.35199999999999998</v>
      </c>
      <c r="S9" s="7">
        <v>108.32</v>
      </c>
      <c r="T9" s="6">
        <v>-0.35199999999999998</v>
      </c>
      <c r="U9" s="7">
        <v>4090</v>
      </c>
      <c r="V9" s="6">
        <v>5.8000000000000003E-2</v>
      </c>
      <c r="W9" s="6">
        <v>0</v>
      </c>
      <c r="X9" s="6">
        <v>0</v>
      </c>
      <c r="Y9" s="6">
        <v>6.8000000000000005E-2</v>
      </c>
      <c r="Z9" s="6">
        <v>7.4999999999999997E-2</v>
      </c>
      <c r="AA9" s="6">
        <v>-8.0000000000000002E-3</v>
      </c>
      <c r="AB9" s="6">
        <v>6.8000000000000005E-2</v>
      </c>
      <c r="AC9" s="6">
        <v>7.4999999999999997E-2</v>
      </c>
      <c r="AD9" s="6">
        <v>-8.0000000000000002E-3</v>
      </c>
      <c r="AE9" s="6">
        <v>0</v>
      </c>
      <c r="AF9" s="6">
        <v>0</v>
      </c>
      <c r="AG9" s="6">
        <v>0</v>
      </c>
      <c r="AH9" s="6">
        <v>0.316</v>
      </c>
      <c r="AI9" s="6">
        <v>0.33200000000000002</v>
      </c>
      <c r="AJ9" s="6">
        <v>-1.6E-2</v>
      </c>
      <c r="AK9" s="6">
        <v>0.59399999999999997</v>
      </c>
      <c r="AL9" s="7">
        <v>1661</v>
      </c>
    </row>
    <row r="10" spans="1:38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0.95299999999999996</v>
      </c>
      <c r="F10" s="3">
        <v>4.7E-2</v>
      </c>
      <c r="G10" s="3">
        <v>0.10299999999999999</v>
      </c>
      <c r="H10" s="3">
        <v>7.3999999999999996E-2</v>
      </c>
      <c r="I10" s="4">
        <v>167</v>
      </c>
      <c r="J10" s="3">
        <v>0.40300000000000002</v>
      </c>
      <c r="K10" s="4">
        <v>2564</v>
      </c>
      <c r="L10" s="4">
        <v>49</v>
      </c>
      <c r="M10" s="4">
        <v>398171</v>
      </c>
      <c r="N10" s="4">
        <v>376831</v>
      </c>
      <c r="O10" s="3">
        <v>5.7000000000000002E-2</v>
      </c>
      <c r="P10" s="4">
        <v>38873</v>
      </c>
      <c r="Q10" s="4">
        <v>38608</v>
      </c>
      <c r="R10" s="3">
        <v>7.0000000000000001E-3</v>
      </c>
      <c r="S10" s="4">
        <v>238.36</v>
      </c>
      <c r="T10" s="3">
        <v>-0.30599999999999999</v>
      </c>
      <c r="U10" s="4">
        <v>298109</v>
      </c>
      <c r="V10" s="3">
        <v>2.3E-2</v>
      </c>
      <c r="W10" s="3">
        <v>5.0000000000000001E-3</v>
      </c>
      <c r="X10" s="3">
        <v>0.84799999999999998</v>
      </c>
      <c r="Y10" s="3">
        <v>0.86099999999999999</v>
      </c>
      <c r="Z10" s="3">
        <v>0.48099999999999998</v>
      </c>
      <c r="AA10" s="3">
        <v>0.38</v>
      </c>
      <c r="AB10" s="3">
        <v>0.86099999999999999</v>
      </c>
      <c r="AC10" s="3">
        <v>0.48099999999999998</v>
      </c>
      <c r="AD10" s="3">
        <v>0.38</v>
      </c>
      <c r="AE10" s="3">
        <v>1.9159999999999999</v>
      </c>
      <c r="AF10" s="3">
        <v>0.48899999999999999</v>
      </c>
      <c r="AG10" s="3">
        <v>1.427</v>
      </c>
      <c r="AH10" s="3">
        <v>0.94699999999999995</v>
      </c>
      <c r="AI10" s="3">
        <v>0.56699999999999995</v>
      </c>
      <c r="AJ10" s="3">
        <v>0.38</v>
      </c>
      <c r="AK10" s="3">
        <v>1.1198999999999999</v>
      </c>
      <c r="AL10" s="4">
        <v>-35733</v>
      </c>
    </row>
    <row r="11" spans="1:38" x14ac:dyDescent="0.25">
      <c r="A11" s="12" t="s">
        <v>37</v>
      </c>
      <c r="B11" s="12" t="s">
        <v>43</v>
      </c>
      <c r="C11" s="5" t="s">
        <v>42</v>
      </c>
      <c r="D11" s="5"/>
      <c r="E11" s="6">
        <v>0.95299999999999996</v>
      </c>
      <c r="F11" s="6">
        <v>4.7E-2</v>
      </c>
      <c r="G11" s="6">
        <v>0.10299999999999999</v>
      </c>
      <c r="H11" s="6">
        <v>7.3999999999999996E-2</v>
      </c>
      <c r="I11" s="7">
        <v>167</v>
      </c>
      <c r="J11" s="6">
        <v>0.40300000000000002</v>
      </c>
      <c r="K11" s="7">
        <v>2564</v>
      </c>
      <c r="L11" s="7">
        <v>49</v>
      </c>
      <c r="M11" s="7">
        <v>398171</v>
      </c>
      <c r="N11" s="7">
        <v>376831</v>
      </c>
      <c r="O11" s="6">
        <v>5.7000000000000002E-2</v>
      </c>
      <c r="P11" s="7">
        <v>38873</v>
      </c>
      <c r="Q11" s="7">
        <v>38608</v>
      </c>
      <c r="R11" s="6">
        <v>7.0000000000000001E-3</v>
      </c>
      <c r="S11" s="7">
        <v>238.36</v>
      </c>
      <c r="T11" s="6">
        <v>-0.30599999999999999</v>
      </c>
      <c r="U11" s="7">
        <v>298109</v>
      </c>
      <c r="V11" s="6">
        <v>2.3E-2</v>
      </c>
      <c r="W11" s="6">
        <v>5.0000000000000001E-3</v>
      </c>
      <c r="X11" s="6">
        <v>0.84799999999999998</v>
      </c>
      <c r="Y11" s="6">
        <v>0.86099999999999999</v>
      </c>
      <c r="Z11" s="6">
        <v>0.48099999999999998</v>
      </c>
      <c r="AA11" s="6">
        <v>0.38</v>
      </c>
      <c r="AB11" s="6">
        <v>0.86099999999999999</v>
      </c>
      <c r="AC11" s="6">
        <v>0.48099999999999998</v>
      </c>
      <c r="AD11" s="6">
        <v>0.38</v>
      </c>
      <c r="AE11" s="6">
        <v>1.9159999999999999</v>
      </c>
      <c r="AF11" s="6">
        <v>0.48899999999999999</v>
      </c>
      <c r="AG11" s="6">
        <v>1.427</v>
      </c>
      <c r="AH11" s="6">
        <v>0.94699999999999995</v>
      </c>
      <c r="AI11" s="6">
        <v>0.56699999999999995</v>
      </c>
      <c r="AJ11" s="6">
        <v>0.38</v>
      </c>
      <c r="AK11" s="6">
        <v>1.1198999999999999</v>
      </c>
      <c r="AL11" s="7">
        <v>-35733</v>
      </c>
    </row>
    <row r="12" spans="1:38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0.92800000000000005</v>
      </c>
      <c r="F12" s="3">
        <v>3.5999999999999997E-2</v>
      </c>
      <c r="G12" s="3">
        <v>9.5000000000000001E-2</v>
      </c>
      <c r="H12" s="3">
        <v>5.8000000000000003E-2</v>
      </c>
      <c r="I12" s="4">
        <v>27</v>
      </c>
      <c r="J12" s="3">
        <v>-0.1</v>
      </c>
      <c r="K12" s="4">
        <v>752</v>
      </c>
      <c r="L12" s="4">
        <v>0</v>
      </c>
      <c r="M12" s="4">
        <v>53093</v>
      </c>
      <c r="N12" s="4">
        <v>51891</v>
      </c>
      <c r="O12" s="3">
        <v>2.3E-2</v>
      </c>
      <c r="P12" s="4">
        <v>4923</v>
      </c>
      <c r="Q12" s="4">
        <v>6019</v>
      </c>
      <c r="R12" s="3">
        <v>-0.182</v>
      </c>
      <c r="S12" s="4">
        <v>182.34</v>
      </c>
      <c r="T12" s="3">
        <v>-9.0999999999999998E-2</v>
      </c>
      <c r="U12" s="4">
        <v>52141</v>
      </c>
      <c r="V12" s="3">
        <v>4.2000000000000003E-2</v>
      </c>
      <c r="W12" s="3">
        <v>6.0000000000000001E-3</v>
      </c>
      <c r="X12" s="3">
        <v>0.374</v>
      </c>
      <c r="Y12" s="3">
        <v>0.45500000000000002</v>
      </c>
      <c r="Z12" s="3">
        <v>0.755</v>
      </c>
      <c r="AA12" s="3">
        <v>-0.29899999999999999</v>
      </c>
      <c r="AB12" s="3">
        <v>0.45500000000000002</v>
      </c>
      <c r="AC12" s="3">
        <v>0.73899999999999999</v>
      </c>
      <c r="AD12" s="3">
        <v>-0.28299999999999997</v>
      </c>
      <c r="AE12" s="3">
        <v>0.47199999999999998</v>
      </c>
      <c r="AF12" s="3">
        <v>0.30399999999999999</v>
      </c>
      <c r="AG12" s="3">
        <v>0.16800000000000001</v>
      </c>
      <c r="AH12" s="3">
        <v>0.67700000000000005</v>
      </c>
      <c r="AI12" s="3">
        <v>0.97599999999999998</v>
      </c>
      <c r="AJ12" s="3">
        <v>-0.29899999999999999</v>
      </c>
      <c r="AK12" s="3">
        <v>0.84599999999999997</v>
      </c>
      <c r="AL12" s="4">
        <v>8030</v>
      </c>
    </row>
    <row r="13" spans="1:38" x14ac:dyDescent="0.25">
      <c r="A13" s="12" t="s">
        <v>37</v>
      </c>
      <c r="B13" s="12" t="s">
        <v>45</v>
      </c>
      <c r="C13" s="5" t="s">
        <v>42</v>
      </c>
      <c r="D13" s="5"/>
      <c r="E13" s="6">
        <v>0.92800000000000005</v>
      </c>
      <c r="F13" s="6">
        <v>3.5999999999999997E-2</v>
      </c>
      <c r="G13" s="6">
        <v>9.5000000000000001E-2</v>
      </c>
      <c r="H13" s="6">
        <v>5.8000000000000003E-2</v>
      </c>
      <c r="I13" s="7">
        <v>27</v>
      </c>
      <c r="J13" s="6">
        <v>-0.1</v>
      </c>
      <c r="K13" s="7">
        <v>752</v>
      </c>
      <c r="L13" s="7">
        <v>0</v>
      </c>
      <c r="M13" s="7">
        <v>53093</v>
      </c>
      <c r="N13" s="7">
        <v>51891</v>
      </c>
      <c r="O13" s="6">
        <v>2.3E-2</v>
      </c>
      <c r="P13" s="7">
        <v>4923</v>
      </c>
      <c r="Q13" s="7">
        <v>6019</v>
      </c>
      <c r="R13" s="6">
        <v>-0.182</v>
      </c>
      <c r="S13" s="7">
        <v>182.34</v>
      </c>
      <c r="T13" s="6">
        <v>-9.0999999999999998E-2</v>
      </c>
      <c r="U13" s="7">
        <v>52141</v>
      </c>
      <c r="V13" s="6">
        <v>4.2000000000000003E-2</v>
      </c>
      <c r="W13" s="6">
        <v>6.0000000000000001E-3</v>
      </c>
      <c r="X13" s="6">
        <v>0.374</v>
      </c>
      <c r="Y13" s="6">
        <v>0.45500000000000002</v>
      </c>
      <c r="Z13" s="6">
        <v>0.755</v>
      </c>
      <c r="AA13" s="6">
        <v>-0.29899999999999999</v>
      </c>
      <c r="AB13" s="6">
        <v>0.45500000000000002</v>
      </c>
      <c r="AC13" s="6">
        <v>0.73899999999999999</v>
      </c>
      <c r="AD13" s="6">
        <v>-0.28299999999999997</v>
      </c>
      <c r="AE13" s="6">
        <v>0.47199999999999998</v>
      </c>
      <c r="AF13" s="6">
        <v>0.30399999999999999</v>
      </c>
      <c r="AG13" s="6">
        <v>0.16800000000000001</v>
      </c>
      <c r="AH13" s="6">
        <v>0.67700000000000005</v>
      </c>
      <c r="AI13" s="6">
        <v>0.97599999999999998</v>
      </c>
      <c r="AJ13" s="6">
        <v>-0.29899999999999999</v>
      </c>
      <c r="AK13" s="6">
        <v>0.84599999999999997</v>
      </c>
      <c r="AL13" s="7">
        <v>8030</v>
      </c>
    </row>
    <row r="14" spans="1:38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0.86099999999999999</v>
      </c>
      <c r="F14" s="3">
        <v>0</v>
      </c>
      <c r="G14" s="3">
        <v>0</v>
      </c>
      <c r="H14" s="3">
        <v>0</v>
      </c>
      <c r="I14" s="4">
        <v>0</v>
      </c>
      <c r="J14" s="3">
        <v>-1</v>
      </c>
      <c r="K14" s="4">
        <v>24</v>
      </c>
      <c r="L14" s="4">
        <v>0</v>
      </c>
      <c r="M14" s="4">
        <v>4398</v>
      </c>
      <c r="N14" s="4">
        <v>5106</v>
      </c>
      <c r="O14" s="3">
        <v>-0.13900000000000001</v>
      </c>
      <c r="P14" s="4">
        <v>0</v>
      </c>
      <c r="Q14" s="4">
        <v>1001</v>
      </c>
      <c r="R14" s="3">
        <v>-1</v>
      </c>
      <c r="S14" s="8"/>
      <c r="T14" s="8"/>
      <c r="U14" s="4">
        <v>5549</v>
      </c>
      <c r="V14" s="3">
        <v>2E-3</v>
      </c>
      <c r="W14" s="3">
        <v>0</v>
      </c>
      <c r="X14" s="3">
        <v>0.27800000000000002</v>
      </c>
      <c r="Y14" s="3">
        <v>0.39800000000000002</v>
      </c>
      <c r="Z14" s="3">
        <v>0.77800000000000002</v>
      </c>
      <c r="AA14" s="3">
        <v>-0.38</v>
      </c>
      <c r="AB14" s="3">
        <v>0.39800000000000002</v>
      </c>
      <c r="AC14" s="3">
        <v>0.77800000000000002</v>
      </c>
      <c r="AD14" s="3">
        <v>-0.38</v>
      </c>
      <c r="AE14" s="8"/>
      <c r="AF14" s="3">
        <v>0</v>
      </c>
      <c r="AG14" s="8"/>
      <c r="AH14" s="3">
        <v>0.59799999999999998</v>
      </c>
      <c r="AI14" s="3">
        <v>0.97799999999999998</v>
      </c>
      <c r="AJ14" s="3">
        <v>-0.38</v>
      </c>
      <c r="AK14" s="3">
        <v>0.7863</v>
      </c>
      <c r="AL14" s="4">
        <v>1186</v>
      </c>
    </row>
    <row r="15" spans="1:38" x14ac:dyDescent="0.25">
      <c r="A15" s="12" t="s">
        <v>37</v>
      </c>
      <c r="B15" s="12" t="s">
        <v>46</v>
      </c>
      <c r="C15" s="5" t="s">
        <v>42</v>
      </c>
      <c r="D15" s="5"/>
      <c r="E15" s="6">
        <v>0.86099999999999999</v>
      </c>
      <c r="F15" s="6">
        <v>0</v>
      </c>
      <c r="G15" s="6">
        <v>0</v>
      </c>
      <c r="H15" s="6">
        <v>0</v>
      </c>
      <c r="I15" s="7">
        <v>0</v>
      </c>
      <c r="J15" s="6">
        <v>-1</v>
      </c>
      <c r="K15" s="7">
        <v>24</v>
      </c>
      <c r="L15" s="7">
        <v>0</v>
      </c>
      <c r="M15" s="7">
        <v>4398</v>
      </c>
      <c r="N15" s="7">
        <v>5106</v>
      </c>
      <c r="O15" s="6">
        <v>-0.13900000000000001</v>
      </c>
      <c r="P15" s="7">
        <v>0</v>
      </c>
      <c r="Q15" s="7">
        <v>1001</v>
      </c>
      <c r="R15" s="6">
        <v>-1</v>
      </c>
      <c r="S15" s="5"/>
      <c r="T15" s="5"/>
      <c r="U15" s="7">
        <v>5549</v>
      </c>
      <c r="V15" s="6">
        <v>2E-3</v>
      </c>
      <c r="W15" s="6">
        <v>0</v>
      </c>
      <c r="X15" s="6">
        <v>0.27800000000000002</v>
      </c>
      <c r="Y15" s="6">
        <v>0.39800000000000002</v>
      </c>
      <c r="Z15" s="6">
        <v>0.77800000000000002</v>
      </c>
      <c r="AA15" s="6">
        <v>-0.38</v>
      </c>
      <c r="AB15" s="6">
        <v>0.39800000000000002</v>
      </c>
      <c r="AC15" s="6">
        <v>0.77800000000000002</v>
      </c>
      <c r="AD15" s="6">
        <v>-0.38</v>
      </c>
      <c r="AE15" s="5"/>
      <c r="AF15" s="6">
        <v>0</v>
      </c>
      <c r="AG15" s="5"/>
      <c r="AH15" s="6">
        <v>0.59799999999999998</v>
      </c>
      <c r="AI15" s="6">
        <v>0.97799999999999998</v>
      </c>
      <c r="AJ15" s="6">
        <v>-0.38</v>
      </c>
      <c r="AK15" s="6">
        <v>0.7863</v>
      </c>
      <c r="AL15" s="7">
        <v>1186</v>
      </c>
    </row>
    <row r="16" spans="1:38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4</v>
      </c>
      <c r="G16" s="3">
        <v>0.41399999999999998</v>
      </c>
      <c r="H16" s="3">
        <v>0.126</v>
      </c>
      <c r="I16" s="4">
        <v>3</v>
      </c>
      <c r="J16" s="3">
        <v>0</v>
      </c>
      <c r="K16" s="4">
        <v>0</v>
      </c>
      <c r="L16" s="4">
        <v>-1</v>
      </c>
      <c r="M16" s="4">
        <v>329</v>
      </c>
      <c r="N16" s="4">
        <v>794</v>
      </c>
      <c r="O16" s="3">
        <v>-0.58599999999999997</v>
      </c>
      <c r="P16" s="4">
        <v>329</v>
      </c>
      <c r="Q16" s="4">
        <v>794</v>
      </c>
      <c r="R16" s="3">
        <v>-0.58599999999999997</v>
      </c>
      <c r="S16" s="4">
        <v>1644.35</v>
      </c>
      <c r="T16" s="3">
        <v>-0.246</v>
      </c>
      <c r="U16" s="4">
        <v>464</v>
      </c>
      <c r="V16" s="3">
        <v>-2.4E-2</v>
      </c>
      <c r="W16" s="3">
        <v>0</v>
      </c>
      <c r="X16" s="3">
        <v>0</v>
      </c>
      <c r="Y16" s="3">
        <v>-9.0999999999999998E-2</v>
      </c>
      <c r="Z16" s="3">
        <v>-9.0999999999999998E-2</v>
      </c>
      <c r="AA16" s="3">
        <v>0</v>
      </c>
      <c r="AB16" s="3">
        <v>-9.0999999999999998E-2</v>
      </c>
      <c r="AC16" s="3">
        <v>-9.0999999999999998E-2</v>
      </c>
      <c r="AD16" s="3">
        <v>0</v>
      </c>
      <c r="AE16" s="3">
        <v>0</v>
      </c>
      <c r="AF16" s="3">
        <v>0</v>
      </c>
      <c r="AG16" s="3">
        <v>0</v>
      </c>
      <c r="AH16" s="3">
        <v>5.8999999999999997E-2</v>
      </c>
      <c r="AI16" s="3">
        <v>5.8999999999999997E-2</v>
      </c>
      <c r="AJ16" s="3">
        <v>0</v>
      </c>
      <c r="AK16" s="3">
        <v>0.44309999999999999</v>
      </c>
      <c r="AL16" s="4">
        <v>258</v>
      </c>
    </row>
    <row r="17" spans="1:38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-0.82699999999999996</v>
      </c>
      <c r="F17" s="3">
        <v>0.125</v>
      </c>
      <c r="G17" s="3">
        <v>0</v>
      </c>
      <c r="H17" s="3">
        <v>0</v>
      </c>
      <c r="I17" s="4">
        <v>0</v>
      </c>
      <c r="J17" s="8"/>
      <c r="K17" s="4">
        <v>7</v>
      </c>
      <c r="L17" s="4">
        <v>-1</v>
      </c>
      <c r="M17" s="4">
        <v>-46</v>
      </c>
      <c r="N17" s="4">
        <v>55</v>
      </c>
      <c r="O17" s="3">
        <v>-1.827</v>
      </c>
      <c r="P17" s="4">
        <v>0</v>
      </c>
      <c r="Q17" s="4">
        <v>0</v>
      </c>
      <c r="R17" s="8"/>
      <c r="S17" s="8"/>
      <c r="T17" s="8"/>
      <c r="U17" s="4">
        <v>336</v>
      </c>
      <c r="V17" s="3">
        <v>6.0000000000000001E-3</v>
      </c>
      <c r="W17" s="3">
        <v>0</v>
      </c>
      <c r="X17" s="3">
        <v>0</v>
      </c>
      <c r="Y17" s="3">
        <v>0.32700000000000001</v>
      </c>
      <c r="Z17" s="3">
        <v>0.32700000000000001</v>
      </c>
      <c r="AA17" s="3">
        <v>0</v>
      </c>
      <c r="AB17" s="3">
        <v>0.32700000000000001</v>
      </c>
      <c r="AC17" s="3">
        <v>0.32700000000000001</v>
      </c>
      <c r="AD17" s="3">
        <v>0</v>
      </c>
      <c r="AE17" s="8"/>
      <c r="AF17" s="8"/>
      <c r="AG17" s="8"/>
      <c r="AH17" s="3">
        <v>0.47699999999999998</v>
      </c>
      <c r="AI17" s="3">
        <v>0.47699999999999998</v>
      </c>
      <c r="AJ17" s="3">
        <v>0</v>
      </c>
      <c r="AK17" s="3">
        <v>0.64970000000000006</v>
      </c>
      <c r="AL17" s="4">
        <v>118</v>
      </c>
    </row>
    <row r="18" spans="1:38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1.05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5</v>
      </c>
      <c r="L18" s="4">
        <v>0</v>
      </c>
      <c r="M18" s="4">
        <v>68</v>
      </c>
      <c r="N18" s="4">
        <v>65</v>
      </c>
      <c r="O18" s="3">
        <v>0.05</v>
      </c>
      <c r="P18" s="4">
        <v>0</v>
      </c>
      <c r="Q18" s="4">
        <v>0</v>
      </c>
      <c r="R18" s="8"/>
      <c r="S18" s="8"/>
      <c r="T18" s="8"/>
      <c r="U18" s="4">
        <v>122</v>
      </c>
      <c r="V18" s="3">
        <v>-4.2000000000000003E-2</v>
      </c>
      <c r="W18" s="3">
        <v>0</v>
      </c>
      <c r="X18" s="3">
        <v>0</v>
      </c>
      <c r="Y18" s="3">
        <v>-7.4999999999999997E-2</v>
      </c>
      <c r="Z18" s="3">
        <v>-7.4999999999999997E-2</v>
      </c>
      <c r="AA18" s="3">
        <v>0</v>
      </c>
      <c r="AB18" s="3">
        <v>-7.4999999999999997E-2</v>
      </c>
      <c r="AC18" s="3">
        <v>-7.4999999999999997E-2</v>
      </c>
      <c r="AD18" s="3">
        <v>0</v>
      </c>
      <c r="AE18" s="8"/>
      <c r="AF18" s="8"/>
      <c r="AG18" s="8"/>
      <c r="AH18" s="3">
        <v>0.129</v>
      </c>
      <c r="AI18" s="3">
        <v>0.13300000000000001</v>
      </c>
      <c r="AJ18" s="3">
        <v>-4.0000000000000001E-3</v>
      </c>
      <c r="AK18" s="3">
        <v>0.42849999999999999</v>
      </c>
      <c r="AL18" s="4">
        <v>70</v>
      </c>
    </row>
    <row r="19" spans="1:38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0.9</v>
      </c>
      <c r="F19" s="3">
        <v>1.7999999999999999E-2</v>
      </c>
      <c r="G19" s="3">
        <v>0.192</v>
      </c>
      <c r="H19" s="3">
        <v>0.192</v>
      </c>
      <c r="I19" s="4">
        <v>1</v>
      </c>
      <c r="J19" s="3">
        <v>-0.5</v>
      </c>
      <c r="K19" s="4">
        <v>109</v>
      </c>
      <c r="L19" s="4">
        <v>-1</v>
      </c>
      <c r="M19" s="4">
        <v>86</v>
      </c>
      <c r="N19" s="4">
        <v>78</v>
      </c>
      <c r="O19" s="3">
        <v>9.1999999999999998E-2</v>
      </c>
      <c r="P19" s="4">
        <v>15</v>
      </c>
      <c r="Q19" s="4">
        <v>30</v>
      </c>
      <c r="R19" s="3">
        <v>-0.496</v>
      </c>
      <c r="S19" s="4">
        <v>15.07</v>
      </c>
      <c r="T19" s="3">
        <v>8.0000000000000002E-3</v>
      </c>
      <c r="U19" s="4">
        <v>682</v>
      </c>
      <c r="V19" s="3">
        <v>-3.1E-2</v>
      </c>
      <c r="W19" s="3">
        <v>0</v>
      </c>
      <c r="X19" s="3">
        <v>0</v>
      </c>
      <c r="Y19" s="3">
        <v>4.7E-2</v>
      </c>
      <c r="Z19" s="3">
        <v>4.7E-2</v>
      </c>
      <c r="AA19" s="3">
        <v>0</v>
      </c>
      <c r="AB19" s="3">
        <v>4.7E-2</v>
      </c>
      <c r="AC19" s="3">
        <v>4.7E-2</v>
      </c>
      <c r="AD19" s="3">
        <v>0</v>
      </c>
      <c r="AE19" s="3">
        <v>0</v>
      </c>
      <c r="AF19" s="3">
        <v>0</v>
      </c>
      <c r="AG19" s="3">
        <v>0</v>
      </c>
      <c r="AH19" s="3">
        <v>0.28899999999999998</v>
      </c>
      <c r="AI19" s="3">
        <v>0.28999999999999998</v>
      </c>
      <c r="AJ19" s="3">
        <v>-1E-3</v>
      </c>
      <c r="AK19" s="3">
        <v>0.44500000000000001</v>
      </c>
      <c r="AL19" s="4">
        <v>379</v>
      </c>
    </row>
    <row r="20" spans="1:38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0.84099999999999997</v>
      </c>
      <c r="F20" s="3">
        <v>5.6000000000000001E-2</v>
      </c>
      <c r="G20" s="3">
        <v>0.98799999999999999</v>
      </c>
      <c r="H20" s="3">
        <v>0.92500000000000004</v>
      </c>
      <c r="I20" s="4">
        <v>5</v>
      </c>
      <c r="J20" s="3">
        <v>1.5</v>
      </c>
      <c r="K20" s="4">
        <v>39</v>
      </c>
      <c r="L20" s="4">
        <v>3</v>
      </c>
      <c r="M20" s="4">
        <v>1295</v>
      </c>
      <c r="N20" s="4">
        <v>708</v>
      </c>
      <c r="O20" s="3">
        <v>0.83</v>
      </c>
      <c r="P20" s="4">
        <v>699</v>
      </c>
      <c r="Q20" s="4">
        <v>139</v>
      </c>
      <c r="R20" s="3">
        <v>4.0490000000000004</v>
      </c>
      <c r="S20" s="4">
        <v>139.85</v>
      </c>
      <c r="T20" s="3">
        <v>0.19500000000000001</v>
      </c>
      <c r="U20" s="4">
        <v>2492</v>
      </c>
      <c r="V20" s="3">
        <v>0.314</v>
      </c>
      <c r="W20" s="3">
        <v>0</v>
      </c>
      <c r="X20" s="3">
        <v>0</v>
      </c>
      <c r="Y20" s="3">
        <v>0.106</v>
      </c>
      <c r="Z20" s="3">
        <v>0.106</v>
      </c>
      <c r="AA20" s="3">
        <v>0</v>
      </c>
      <c r="AB20" s="3">
        <v>0.106</v>
      </c>
      <c r="AC20" s="3">
        <v>0.106</v>
      </c>
      <c r="AD20" s="3">
        <v>0</v>
      </c>
      <c r="AE20" s="3">
        <v>0</v>
      </c>
      <c r="AF20" s="3">
        <v>0</v>
      </c>
      <c r="AG20" s="3">
        <v>0</v>
      </c>
      <c r="AH20" s="3">
        <v>0.30599999999999999</v>
      </c>
      <c r="AI20" s="3">
        <v>0.30599999999999999</v>
      </c>
      <c r="AJ20" s="3">
        <v>-1E-3</v>
      </c>
      <c r="AK20" s="3">
        <v>0.46679999999999999</v>
      </c>
      <c r="AL20" s="4">
        <v>1329</v>
      </c>
    </row>
    <row r="21" spans="1:38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0.55700000000000005</v>
      </c>
      <c r="F21" s="3">
        <v>6.7000000000000004E-2</v>
      </c>
      <c r="G21" s="3">
        <v>0</v>
      </c>
      <c r="H21" s="3">
        <v>0</v>
      </c>
      <c r="I21" s="4">
        <v>0</v>
      </c>
      <c r="J21" s="8"/>
      <c r="K21" s="4">
        <v>28</v>
      </c>
      <c r="L21" s="4">
        <v>-2</v>
      </c>
      <c r="M21" s="4">
        <v>475</v>
      </c>
      <c r="N21" s="4">
        <v>854</v>
      </c>
      <c r="O21" s="3">
        <v>-0.443</v>
      </c>
      <c r="P21" s="4">
        <v>0</v>
      </c>
      <c r="Q21" s="4">
        <v>0</v>
      </c>
      <c r="R21" s="8"/>
      <c r="S21" s="8"/>
      <c r="T21" s="8"/>
      <c r="U21" s="4">
        <v>1055</v>
      </c>
      <c r="V21" s="3">
        <v>-0.10199999999999999</v>
      </c>
      <c r="W21" s="3">
        <v>0</v>
      </c>
      <c r="X21" s="3">
        <v>0</v>
      </c>
      <c r="Y21" s="3">
        <v>2.5999999999999999E-2</v>
      </c>
      <c r="Z21" s="3">
        <v>2.5999999999999999E-2</v>
      </c>
      <c r="AA21" s="3">
        <v>0</v>
      </c>
      <c r="AB21" s="3">
        <v>2.5999999999999999E-2</v>
      </c>
      <c r="AC21" s="3">
        <v>2.5999999999999999E-2</v>
      </c>
      <c r="AD21" s="3">
        <v>0</v>
      </c>
      <c r="AE21" s="8"/>
      <c r="AF21" s="8"/>
      <c r="AG21" s="8"/>
      <c r="AH21" s="3">
        <v>0.27600000000000002</v>
      </c>
      <c r="AI21" s="3">
        <v>0.27600000000000002</v>
      </c>
      <c r="AJ21" s="3">
        <v>0</v>
      </c>
      <c r="AK21" s="3">
        <v>0.42180000000000001</v>
      </c>
      <c r="AL21" s="4">
        <v>610</v>
      </c>
    </row>
    <row r="22" spans="1:38" x14ac:dyDescent="0.25">
      <c r="A22" s="12" t="s">
        <v>37</v>
      </c>
      <c r="B22" s="12" t="s">
        <v>48</v>
      </c>
      <c r="C22" s="5" t="s">
        <v>42</v>
      </c>
      <c r="D22" s="5"/>
      <c r="E22" s="6">
        <v>0.45500000000000002</v>
      </c>
      <c r="F22" s="6">
        <v>5.8000000000000003E-2</v>
      </c>
      <c r="G22" s="6">
        <v>0.40799999999999997</v>
      </c>
      <c r="H22" s="6">
        <v>0.30099999999999999</v>
      </c>
      <c r="I22" s="7">
        <v>9</v>
      </c>
      <c r="J22" s="6">
        <v>0.28599999999999998</v>
      </c>
      <c r="K22" s="7">
        <v>188</v>
      </c>
      <c r="L22" s="7">
        <v>-2</v>
      </c>
      <c r="M22" s="7">
        <v>2207</v>
      </c>
      <c r="N22" s="7">
        <v>2555</v>
      </c>
      <c r="O22" s="6">
        <v>-0.13600000000000001</v>
      </c>
      <c r="P22" s="7">
        <v>1043</v>
      </c>
      <c r="Q22" s="7">
        <v>963</v>
      </c>
      <c r="R22" s="6">
        <v>8.3000000000000004E-2</v>
      </c>
      <c r="S22" s="7">
        <v>168.25</v>
      </c>
      <c r="T22" s="6">
        <v>-0.38</v>
      </c>
      <c r="U22" s="7">
        <v>5151</v>
      </c>
      <c r="V22" s="6">
        <v>9.2999999999999999E-2</v>
      </c>
      <c r="W22" s="6">
        <v>0</v>
      </c>
      <c r="X22" s="6">
        <v>0</v>
      </c>
      <c r="Y22" s="6">
        <v>7.3999999999999996E-2</v>
      </c>
      <c r="Z22" s="6">
        <v>6.8000000000000005E-2</v>
      </c>
      <c r="AA22" s="6">
        <v>6.0000000000000001E-3</v>
      </c>
      <c r="AB22" s="6">
        <v>7.3999999999999996E-2</v>
      </c>
      <c r="AC22" s="6">
        <v>6.8000000000000005E-2</v>
      </c>
      <c r="AD22" s="6">
        <v>6.0000000000000001E-3</v>
      </c>
      <c r="AE22" s="6">
        <v>0</v>
      </c>
      <c r="AF22" s="6">
        <v>0</v>
      </c>
      <c r="AG22" s="6">
        <v>0</v>
      </c>
      <c r="AH22" s="6">
        <v>0.28199999999999997</v>
      </c>
      <c r="AI22" s="6">
        <v>0.27900000000000003</v>
      </c>
      <c r="AJ22" s="6">
        <v>3.0000000000000001E-3</v>
      </c>
      <c r="AK22" s="6">
        <v>0.46360000000000001</v>
      </c>
      <c r="AL22" s="7">
        <v>2763</v>
      </c>
    </row>
    <row r="23" spans="1:38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0.90700000000000003</v>
      </c>
      <c r="F23" s="3">
        <v>5.0999999999999997E-2</v>
      </c>
      <c r="G23" s="3">
        <v>0.32400000000000001</v>
      </c>
      <c r="H23" s="3">
        <v>0.215</v>
      </c>
      <c r="I23" s="4">
        <v>12</v>
      </c>
      <c r="J23" s="3">
        <v>2</v>
      </c>
      <c r="K23" s="4">
        <v>68</v>
      </c>
      <c r="L23" s="4">
        <v>9</v>
      </c>
      <c r="M23" s="4">
        <v>14302</v>
      </c>
      <c r="N23" s="4">
        <v>11619</v>
      </c>
      <c r="O23" s="3">
        <v>0.23100000000000001</v>
      </c>
      <c r="P23" s="4">
        <v>3759</v>
      </c>
      <c r="Q23" s="4">
        <v>2652</v>
      </c>
      <c r="R23" s="3">
        <v>0.41799999999999998</v>
      </c>
      <c r="S23" s="4">
        <v>313.24</v>
      </c>
      <c r="T23" s="3">
        <v>-0.52700000000000002</v>
      </c>
      <c r="U23" s="4">
        <v>10348</v>
      </c>
      <c r="V23" s="3">
        <v>0.104</v>
      </c>
      <c r="W23" s="3">
        <v>1.7000000000000001E-2</v>
      </c>
      <c r="X23" s="3">
        <v>0.5</v>
      </c>
      <c r="Y23" s="3">
        <v>0.46500000000000002</v>
      </c>
      <c r="Z23" s="3">
        <v>0.222</v>
      </c>
      <c r="AA23" s="3">
        <v>0.24299999999999999</v>
      </c>
      <c r="AB23" s="3">
        <v>0.46500000000000002</v>
      </c>
      <c r="AC23" s="3">
        <v>0.222</v>
      </c>
      <c r="AD23" s="3">
        <v>0.24299999999999999</v>
      </c>
      <c r="AE23" s="3">
        <v>0.371</v>
      </c>
      <c r="AF23" s="3">
        <v>0</v>
      </c>
      <c r="AG23" s="3">
        <v>0.371</v>
      </c>
      <c r="AH23" s="3">
        <v>0.57899999999999996</v>
      </c>
      <c r="AI23" s="3">
        <v>0.35</v>
      </c>
      <c r="AJ23" s="3">
        <v>0.22900000000000001</v>
      </c>
      <c r="AK23" s="3">
        <v>0.74150000000000005</v>
      </c>
      <c r="AL23" s="4">
        <v>2675</v>
      </c>
    </row>
    <row r="24" spans="1:38" x14ac:dyDescent="0.25">
      <c r="A24" s="12" t="s">
        <v>37</v>
      </c>
      <c r="B24" s="12" t="s">
        <v>59</v>
      </c>
      <c r="C24" s="5" t="s">
        <v>42</v>
      </c>
      <c r="D24" s="5"/>
      <c r="E24" s="6">
        <v>0.90700000000000003</v>
      </c>
      <c r="F24" s="6">
        <v>5.0999999999999997E-2</v>
      </c>
      <c r="G24" s="6">
        <v>0.32400000000000001</v>
      </c>
      <c r="H24" s="6">
        <v>0.215</v>
      </c>
      <c r="I24" s="7">
        <v>12</v>
      </c>
      <c r="J24" s="6">
        <v>2</v>
      </c>
      <c r="K24" s="7">
        <v>68</v>
      </c>
      <c r="L24" s="7">
        <v>9</v>
      </c>
      <c r="M24" s="7">
        <v>14302</v>
      </c>
      <c r="N24" s="7">
        <v>11619</v>
      </c>
      <c r="O24" s="6">
        <v>0.23100000000000001</v>
      </c>
      <c r="P24" s="7">
        <v>3759</v>
      </c>
      <c r="Q24" s="7">
        <v>2652</v>
      </c>
      <c r="R24" s="6">
        <v>0.41799999999999998</v>
      </c>
      <c r="S24" s="7">
        <v>313.24</v>
      </c>
      <c r="T24" s="6">
        <v>-0.52700000000000002</v>
      </c>
      <c r="U24" s="7">
        <v>10348</v>
      </c>
      <c r="V24" s="6">
        <v>0.104</v>
      </c>
      <c r="W24" s="6">
        <v>1.7000000000000001E-2</v>
      </c>
      <c r="X24" s="6">
        <v>0.5</v>
      </c>
      <c r="Y24" s="6">
        <v>0.46500000000000002</v>
      </c>
      <c r="Z24" s="6">
        <v>0.222</v>
      </c>
      <c r="AA24" s="6">
        <v>0.24299999999999999</v>
      </c>
      <c r="AB24" s="6">
        <v>0.46500000000000002</v>
      </c>
      <c r="AC24" s="6">
        <v>0.222</v>
      </c>
      <c r="AD24" s="6">
        <v>0.24299999999999999</v>
      </c>
      <c r="AE24" s="6">
        <v>0.371</v>
      </c>
      <c r="AF24" s="6">
        <v>0</v>
      </c>
      <c r="AG24" s="6">
        <v>0.371</v>
      </c>
      <c r="AH24" s="6">
        <v>0.57899999999999996</v>
      </c>
      <c r="AI24" s="6">
        <v>0.35</v>
      </c>
      <c r="AJ24" s="6">
        <v>0.22900000000000001</v>
      </c>
      <c r="AK24" s="6">
        <v>0.74150000000000005</v>
      </c>
      <c r="AL24" s="7">
        <v>2675</v>
      </c>
    </row>
    <row r="25" spans="1:38" x14ac:dyDescent="0.25">
      <c r="A25" s="12" t="s">
        <v>37</v>
      </c>
      <c r="B25" s="5" t="s">
        <v>42</v>
      </c>
      <c r="C25" s="5"/>
      <c r="D25" s="5"/>
      <c r="E25" s="6">
        <v>0.94599999999999995</v>
      </c>
      <c r="F25" s="6">
        <v>4.3999999999999997E-2</v>
      </c>
      <c r="G25" s="6">
        <v>0.108</v>
      </c>
      <c r="H25" s="6">
        <v>7.5999999999999998E-2</v>
      </c>
      <c r="I25" s="7">
        <v>217</v>
      </c>
      <c r="J25" s="6">
        <v>0.33100000000000002</v>
      </c>
      <c r="K25" s="7">
        <v>3668</v>
      </c>
      <c r="L25" s="7">
        <v>57</v>
      </c>
      <c r="M25" s="7">
        <v>476705</v>
      </c>
      <c r="N25" s="7">
        <v>452325</v>
      </c>
      <c r="O25" s="6">
        <v>5.3999999999999999E-2</v>
      </c>
      <c r="P25" s="7">
        <v>48814</v>
      </c>
      <c r="Q25" s="7">
        <v>49577</v>
      </c>
      <c r="R25" s="6">
        <v>-1.4999999999999999E-2</v>
      </c>
      <c r="S25" s="7">
        <v>232.14</v>
      </c>
      <c r="T25" s="6">
        <v>-0.28399999999999997</v>
      </c>
      <c r="U25" s="7">
        <v>375387</v>
      </c>
      <c r="V25" s="6">
        <v>2.9000000000000001E-2</v>
      </c>
      <c r="W25" s="6">
        <v>5.0000000000000001E-3</v>
      </c>
      <c r="X25" s="6">
        <v>0.74299999999999999</v>
      </c>
      <c r="Y25" s="6">
        <v>0.76700000000000002</v>
      </c>
      <c r="Z25" s="6">
        <v>0.50700000000000001</v>
      </c>
      <c r="AA25" s="6">
        <v>0.26</v>
      </c>
      <c r="AB25" s="6">
        <v>0.76700000000000002</v>
      </c>
      <c r="AC25" s="6">
        <v>0.505</v>
      </c>
      <c r="AD25" s="6">
        <v>0.26300000000000001</v>
      </c>
      <c r="AE25" s="6">
        <v>1.546</v>
      </c>
      <c r="AF25" s="6">
        <v>0.4</v>
      </c>
      <c r="AG25" s="6">
        <v>1.1459999999999999</v>
      </c>
      <c r="AH25" s="6">
        <v>0.878</v>
      </c>
      <c r="AI25" s="6">
        <v>0.61799999999999999</v>
      </c>
      <c r="AJ25" s="6">
        <v>0.26</v>
      </c>
      <c r="AK25" s="6">
        <v>1.0517000000000001</v>
      </c>
      <c r="AL25" s="7">
        <v>-19419</v>
      </c>
    </row>
    <row r="26" spans="1:38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0.97699999999999998</v>
      </c>
      <c r="F26" s="3">
        <v>4.5999999999999999E-2</v>
      </c>
      <c r="G26" s="3">
        <v>0.26300000000000001</v>
      </c>
      <c r="H26" s="3">
        <v>9.9000000000000005E-2</v>
      </c>
      <c r="I26" s="4">
        <v>5</v>
      </c>
      <c r="J26" s="3">
        <v>-0.16700000000000001</v>
      </c>
      <c r="K26" s="4">
        <v>88</v>
      </c>
      <c r="L26" s="4">
        <v>1</v>
      </c>
      <c r="M26" s="4">
        <v>4045</v>
      </c>
      <c r="N26" s="4">
        <v>3263</v>
      </c>
      <c r="O26" s="3">
        <v>0.24</v>
      </c>
      <c r="P26" s="4">
        <v>857</v>
      </c>
      <c r="Q26" s="4">
        <v>764</v>
      </c>
      <c r="R26" s="3">
        <v>0.122</v>
      </c>
      <c r="S26" s="4">
        <v>279.43</v>
      </c>
      <c r="T26" s="3">
        <v>0.89600000000000002</v>
      </c>
      <c r="U26" s="4">
        <v>3370</v>
      </c>
      <c r="V26" s="3">
        <v>2.5000000000000001E-2</v>
      </c>
      <c r="W26" s="3">
        <v>5.6000000000000001E-2</v>
      </c>
      <c r="X26" s="3">
        <v>0</v>
      </c>
      <c r="Y26" s="3">
        <v>0.128</v>
      </c>
      <c r="Z26" s="3">
        <v>0.128</v>
      </c>
      <c r="AA26" s="3">
        <v>0</v>
      </c>
      <c r="AB26" s="3">
        <v>0.128</v>
      </c>
      <c r="AC26" s="3">
        <v>0.128</v>
      </c>
      <c r="AD26" s="3">
        <v>0</v>
      </c>
      <c r="AE26" s="3">
        <v>0</v>
      </c>
      <c r="AF26" s="3">
        <v>0</v>
      </c>
      <c r="AG26" s="3">
        <v>0</v>
      </c>
      <c r="AH26" s="3">
        <v>0.311</v>
      </c>
      <c r="AI26" s="3">
        <v>0.313</v>
      </c>
      <c r="AJ26" s="3">
        <v>-2E-3</v>
      </c>
      <c r="AK26" s="3">
        <v>0.47220000000000001</v>
      </c>
      <c r="AL26" s="4">
        <v>1779</v>
      </c>
    </row>
    <row r="27" spans="1:38" x14ac:dyDescent="0.25">
      <c r="A27" s="12" t="s">
        <v>61</v>
      </c>
      <c r="B27" s="12" t="s">
        <v>39</v>
      </c>
      <c r="C27" s="5" t="s">
        <v>42</v>
      </c>
      <c r="D27" s="5"/>
      <c r="E27" s="6">
        <v>0.97699999999999998</v>
      </c>
      <c r="F27" s="6">
        <v>4.5999999999999999E-2</v>
      </c>
      <c r="G27" s="6">
        <v>0.26300000000000001</v>
      </c>
      <c r="H27" s="6">
        <v>9.9000000000000005E-2</v>
      </c>
      <c r="I27" s="7">
        <v>5</v>
      </c>
      <c r="J27" s="6">
        <v>-0.16700000000000001</v>
      </c>
      <c r="K27" s="7">
        <v>88</v>
      </c>
      <c r="L27" s="7">
        <v>1</v>
      </c>
      <c r="M27" s="7">
        <v>4045</v>
      </c>
      <c r="N27" s="7">
        <v>3263</v>
      </c>
      <c r="O27" s="6">
        <v>0.24</v>
      </c>
      <c r="P27" s="7">
        <v>857</v>
      </c>
      <c r="Q27" s="7">
        <v>764</v>
      </c>
      <c r="R27" s="6">
        <v>0.122</v>
      </c>
      <c r="S27" s="7">
        <v>279.43</v>
      </c>
      <c r="T27" s="6">
        <v>0.89600000000000002</v>
      </c>
      <c r="U27" s="7">
        <v>3370</v>
      </c>
      <c r="V27" s="6">
        <v>2.5000000000000001E-2</v>
      </c>
      <c r="W27" s="6">
        <v>5.6000000000000001E-2</v>
      </c>
      <c r="X27" s="6">
        <v>0</v>
      </c>
      <c r="Y27" s="6">
        <v>0.128</v>
      </c>
      <c r="Z27" s="6">
        <v>0.128</v>
      </c>
      <c r="AA27" s="6">
        <v>0</v>
      </c>
      <c r="AB27" s="6">
        <v>0.128</v>
      </c>
      <c r="AC27" s="6">
        <v>0.128</v>
      </c>
      <c r="AD27" s="6">
        <v>0</v>
      </c>
      <c r="AE27" s="6">
        <v>0</v>
      </c>
      <c r="AF27" s="6">
        <v>0</v>
      </c>
      <c r="AG27" s="6">
        <v>0</v>
      </c>
      <c r="AH27" s="6">
        <v>0.311</v>
      </c>
      <c r="AI27" s="6">
        <v>0.313</v>
      </c>
      <c r="AJ27" s="6">
        <v>-2E-3</v>
      </c>
      <c r="AK27" s="6">
        <v>0.47220000000000001</v>
      </c>
      <c r="AL27" s="7">
        <v>1779</v>
      </c>
    </row>
    <row r="28" spans="1:38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0.46700000000000003</v>
      </c>
      <c r="F28" s="3">
        <v>4.8000000000000001E-2</v>
      </c>
      <c r="G28" s="3">
        <v>0.752</v>
      </c>
      <c r="H28" s="3">
        <v>0.752</v>
      </c>
      <c r="I28" s="4">
        <v>12</v>
      </c>
      <c r="J28" s="3">
        <v>-0.25</v>
      </c>
      <c r="K28" s="4">
        <v>71</v>
      </c>
      <c r="L28" s="4">
        <v>9</v>
      </c>
      <c r="M28" s="4">
        <v>10341</v>
      </c>
      <c r="N28" s="4">
        <v>8482</v>
      </c>
      <c r="O28" s="3">
        <v>0.219</v>
      </c>
      <c r="P28" s="4">
        <v>6379</v>
      </c>
      <c r="Q28" s="4">
        <v>6578</v>
      </c>
      <c r="R28" s="3">
        <v>-0.03</v>
      </c>
      <c r="S28" s="4">
        <v>531.55999999999995</v>
      </c>
      <c r="T28" s="3">
        <v>0.29299999999999998</v>
      </c>
      <c r="U28" s="4">
        <v>9189</v>
      </c>
      <c r="V28" s="3">
        <v>-0.222</v>
      </c>
      <c r="W28" s="3">
        <v>0.11</v>
      </c>
      <c r="X28" s="3">
        <v>0.47399999999999998</v>
      </c>
      <c r="Y28" s="3">
        <v>0.52700000000000002</v>
      </c>
      <c r="Z28" s="3">
        <v>0.71</v>
      </c>
      <c r="AA28" s="3">
        <v>-0.183</v>
      </c>
      <c r="AB28" s="3">
        <v>0.52700000000000002</v>
      </c>
      <c r="AC28" s="3">
        <v>0.71</v>
      </c>
      <c r="AD28" s="3">
        <v>-0.183</v>
      </c>
      <c r="AE28" s="3">
        <v>0</v>
      </c>
      <c r="AF28" s="3">
        <v>0</v>
      </c>
      <c r="AG28" s="3">
        <v>0</v>
      </c>
      <c r="AH28" s="3">
        <v>0.59699999999999998</v>
      </c>
      <c r="AI28" s="3">
        <v>0.78</v>
      </c>
      <c r="AJ28" s="3">
        <v>-0.184</v>
      </c>
      <c r="AK28" s="3">
        <v>0.79459999999999997</v>
      </c>
      <c r="AL28" s="4">
        <v>1888</v>
      </c>
    </row>
    <row r="29" spans="1:38" x14ac:dyDescent="0.25">
      <c r="A29" s="12" t="s">
        <v>61</v>
      </c>
      <c r="B29" s="12" t="s">
        <v>43</v>
      </c>
      <c r="C29" s="5" t="s">
        <v>42</v>
      </c>
      <c r="D29" s="5"/>
      <c r="E29" s="6">
        <v>0.46700000000000003</v>
      </c>
      <c r="F29" s="6">
        <v>4.8000000000000001E-2</v>
      </c>
      <c r="G29" s="6">
        <v>0.752</v>
      </c>
      <c r="H29" s="6">
        <v>0.752</v>
      </c>
      <c r="I29" s="7">
        <v>12</v>
      </c>
      <c r="J29" s="6">
        <v>-0.25</v>
      </c>
      <c r="K29" s="7">
        <v>71</v>
      </c>
      <c r="L29" s="7">
        <v>9</v>
      </c>
      <c r="M29" s="7">
        <v>10341</v>
      </c>
      <c r="N29" s="7">
        <v>8482</v>
      </c>
      <c r="O29" s="6">
        <v>0.219</v>
      </c>
      <c r="P29" s="7">
        <v>6379</v>
      </c>
      <c r="Q29" s="7">
        <v>6578</v>
      </c>
      <c r="R29" s="6">
        <v>-0.03</v>
      </c>
      <c r="S29" s="7">
        <v>531.55999999999995</v>
      </c>
      <c r="T29" s="6">
        <v>0.29299999999999998</v>
      </c>
      <c r="U29" s="7">
        <v>9189</v>
      </c>
      <c r="V29" s="6">
        <v>-0.222</v>
      </c>
      <c r="W29" s="6">
        <v>0.11</v>
      </c>
      <c r="X29" s="6">
        <v>0.47399999999999998</v>
      </c>
      <c r="Y29" s="6">
        <v>0.52700000000000002</v>
      </c>
      <c r="Z29" s="6">
        <v>0.71</v>
      </c>
      <c r="AA29" s="6">
        <v>-0.183</v>
      </c>
      <c r="AB29" s="6">
        <v>0.52700000000000002</v>
      </c>
      <c r="AC29" s="6">
        <v>0.71</v>
      </c>
      <c r="AD29" s="6">
        <v>-0.183</v>
      </c>
      <c r="AE29" s="6">
        <v>0</v>
      </c>
      <c r="AF29" s="6">
        <v>0</v>
      </c>
      <c r="AG29" s="6">
        <v>0</v>
      </c>
      <c r="AH29" s="6">
        <v>0.59699999999999998</v>
      </c>
      <c r="AI29" s="6">
        <v>0.78</v>
      </c>
      <c r="AJ29" s="6">
        <v>-0.184</v>
      </c>
      <c r="AK29" s="6">
        <v>0.79459999999999997</v>
      </c>
      <c r="AL29" s="7">
        <v>1888</v>
      </c>
    </row>
    <row r="30" spans="1:38" x14ac:dyDescent="0.25">
      <c r="A30" s="12" t="s">
        <v>61</v>
      </c>
      <c r="B30" s="12" t="s">
        <v>64</v>
      </c>
      <c r="C30" s="2" t="s">
        <v>65</v>
      </c>
      <c r="D30" s="2" t="s">
        <v>65</v>
      </c>
      <c r="E30" s="3">
        <v>0.94199999999999995</v>
      </c>
      <c r="F30" s="3">
        <v>0.104</v>
      </c>
      <c r="G30" s="3">
        <v>6.0999999999999999E-2</v>
      </c>
      <c r="H30" s="3">
        <v>6.0999999999999999E-2</v>
      </c>
      <c r="I30" s="4">
        <v>2</v>
      </c>
      <c r="J30" s="3">
        <v>0</v>
      </c>
      <c r="K30" s="4">
        <v>45</v>
      </c>
      <c r="L30" s="4">
        <v>-3</v>
      </c>
      <c r="M30" s="4">
        <v>16991</v>
      </c>
      <c r="N30" s="4">
        <v>16929</v>
      </c>
      <c r="O30" s="3">
        <v>4.0000000000000001E-3</v>
      </c>
      <c r="P30" s="4">
        <v>1038</v>
      </c>
      <c r="Q30" s="4">
        <v>1398</v>
      </c>
      <c r="R30" s="3">
        <v>-0.25800000000000001</v>
      </c>
      <c r="S30" s="4">
        <v>518.79999999999995</v>
      </c>
      <c r="T30" s="3">
        <v>-0.25800000000000001</v>
      </c>
      <c r="U30" s="4">
        <v>16436</v>
      </c>
      <c r="V30" s="3">
        <v>-8.7999999999999995E-2</v>
      </c>
      <c r="W30" s="3">
        <v>0</v>
      </c>
      <c r="X30" s="3">
        <v>2.04</v>
      </c>
      <c r="Y30" s="3">
        <v>2.1629999999999998</v>
      </c>
      <c r="Z30" s="3">
        <v>1.4530000000000001</v>
      </c>
      <c r="AA30" s="3">
        <v>0.71</v>
      </c>
      <c r="AB30" s="3">
        <v>2.1629999999999998</v>
      </c>
      <c r="AC30" s="3">
        <v>1.45</v>
      </c>
      <c r="AD30" s="3">
        <v>0.71299999999999997</v>
      </c>
      <c r="AE30" s="3">
        <v>0</v>
      </c>
      <c r="AF30" s="3">
        <v>9.7530000000000001</v>
      </c>
      <c r="AG30" s="3">
        <v>-9.7530000000000001</v>
      </c>
      <c r="AH30" s="3">
        <v>2.3650000000000002</v>
      </c>
      <c r="AI30" s="3">
        <v>1.6539999999999999</v>
      </c>
      <c r="AJ30" s="3">
        <v>0.71</v>
      </c>
      <c r="AK30" s="3">
        <v>2.4952000000000001</v>
      </c>
      <c r="AL30" s="4">
        <v>-24575</v>
      </c>
    </row>
    <row r="31" spans="1:38" x14ac:dyDescent="0.25">
      <c r="A31" s="12" t="s">
        <v>61</v>
      </c>
      <c r="B31" s="12" t="s">
        <v>64</v>
      </c>
      <c r="C31" s="5" t="s">
        <v>42</v>
      </c>
      <c r="D31" s="5"/>
      <c r="E31" s="6">
        <v>0.94199999999999995</v>
      </c>
      <c r="F31" s="6">
        <v>0.104</v>
      </c>
      <c r="G31" s="6">
        <v>6.0999999999999999E-2</v>
      </c>
      <c r="H31" s="6">
        <v>6.0999999999999999E-2</v>
      </c>
      <c r="I31" s="7">
        <v>2</v>
      </c>
      <c r="J31" s="6">
        <v>0</v>
      </c>
      <c r="K31" s="7">
        <v>45</v>
      </c>
      <c r="L31" s="7">
        <v>-3</v>
      </c>
      <c r="M31" s="7">
        <v>16991</v>
      </c>
      <c r="N31" s="7">
        <v>16929</v>
      </c>
      <c r="O31" s="6">
        <v>4.0000000000000001E-3</v>
      </c>
      <c r="P31" s="7">
        <v>1038</v>
      </c>
      <c r="Q31" s="7">
        <v>1398</v>
      </c>
      <c r="R31" s="6">
        <v>-0.25800000000000001</v>
      </c>
      <c r="S31" s="7">
        <v>518.79999999999995</v>
      </c>
      <c r="T31" s="6">
        <v>-0.25800000000000001</v>
      </c>
      <c r="U31" s="7">
        <v>16436</v>
      </c>
      <c r="V31" s="6">
        <v>-8.7999999999999995E-2</v>
      </c>
      <c r="W31" s="6">
        <v>0</v>
      </c>
      <c r="X31" s="6">
        <v>2.04</v>
      </c>
      <c r="Y31" s="6">
        <v>2.1629999999999998</v>
      </c>
      <c r="Z31" s="6">
        <v>1.4530000000000001</v>
      </c>
      <c r="AA31" s="6">
        <v>0.71</v>
      </c>
      <c r="AB31" s="6">
        <v>2.1629999999999998</v>
      </c>
      <c r="AC31" s="6">
        <v>1.45</v>
      </c>
      <c r="AD31" s="6">
        <v>0.71299999999999997</v>
      </c>
      <c r="AE31" s="6">
        <v>0</v>
      </c>
      <c r="AF31" s="6">
        <v>9.7530000000000001</v>
      </c>
      <c r="AG31" s="6">
        <v>-9.7530000000000001</v>
      </c>
      <c r="AH31" s="6">
        <v>2.3650000000000002</v>
      </c>
      <c r="AI31" s="6">
        <v>1.6539999999999999</v>
      </c>
      <c r="AJ31" s="6">
        <v>0.71</v>
      </c>
      <c r="AK31" s="6">
        <v>2.4952000000000001</v>
      </c>
      <c r="AL31" s="7">
        <v>-24575</v>
      </c>
    </row>
    <row r="32" spans="1:38" x14ac:dyDescent="0.25">
      <c r="A32" s="12" t="s">
        <v>61</v>
      </c>
      <c r="B32" s="12" t="s">
        <v>66</v>
      </c>
      <c r="C32" s="2" t="s">
        <v>55</v>
      </c>
      <c r="D32" s="2" t="s">
        <v>67</v>
      </c>
      <c r="E32" s="3">
        <v>0.90100000000000002</v>
      </c>
      <c r="F32" s="3">
        <v>2.1000000000000001E-2</v>
      </c>
      <c r="G32" s="3">
        <v>5.7000000000000002E-2</v>
      </c>
      <c r="H32" s="3">
        <v>5.7000000000000002E-2</v>
      </c>
      <c r="I32" s="4">
        <v>1</v>
      </c>
      <c r="J32" s="3">
        <v>-0.66700000000000004</v>
      </c>
      <c r="K32" s="4">
        <v>48</v>
      </c>
      <c r="L32" s="4">
        <v>0</v>
      </c>
      <c r="M32" s="4">
        <v>29412</v>
      </c>
      <c r="N32" s="4">
        <v>30725</v>
      </c>
      <c r="O32" s="3">
        <v>-4.2999999999999997E-2</v>
      </c>
      <c r="P32" s="4">
        <v>1743</v>
      </c>
      <c r="Q32" s="4">
        <v>1536</v>
      </c>
      <c r="R32" s="3">
        <v>0.13500000000000001</v>
      </c>
      <c r="S32" s="4">
        <v>1743.17</v>
      </c>
      <c r="T32" s="3">
        <v>2.4039999999999999</v>
      </c>
      <c r="U32" s="4">
        <v>19200</v>
      </c>
      <c r="V32" s="3">
        <v>-2.7E-2</v>
      </c>
      <c r="W32" s="3">
        <v>0</v>
      </c>
      <c r="X32" s="3">
        <v>0</v>
      </c>
      <c r="Y32" s="3">
        <v>0.35199999999999998</v>
      </c>
      <c r="Z32" s="3">
        <v>0.36499999999999999</v>
      </c>
      <c r="AA32" s="3">
        <v>-1.4E-2</v>
      </c>
      <c r="AB32" s="3">
        <v>0.35199999999999998</v>
      </c>
      <c r="AC32" s="3">
        <v>0.36499999999999999</v>
      </c>
      <c r="AD32" s="3">
        <v>-1.4E-2</v>
      </c>
      <c r="AE32" s="3">
        <v>0</v>
      </c>
      <c r="AF32" s="3">
        <v>0</v>
      </c>
      <c r="AG32" s="3">
        <v>0</v>
      </c>
      <c r="AH32" s="3">
        <v>0.55100000000000005</v>
      </c>
      <c r="AI32" s="3">
        <v>0.55800000000000005</v>
      </c>
      <c r="AJ32" s="3">
        <v>-8.0000000000000002E-3</v>
      </c>
      <c r="AK32" s="3">
        <v>0.66779999999999995</v>
      </c>
      <c r="AL32" s="4">
        <v>6378</v>
      </c>
    </row>
    <row r="33" spans="1:38" x14ac:dyDescent="0.25">
      <c r="A33" s="12" t="s">
        <v>61</v>
      </c>
      <c r="B33" s="12" t="s">
        <v>66</v>
      </c>
      <c r="C33" s="5" t="s">
        <v>42</v>
      </c>
      <c r="D33" s="5"/>
      <c r="E33" s="6">
        <v>0.90100000000000002</v>
      </c>
      <c r="F33" s="6">
        <v>2.1000000000000001E-2</v>
      </c>
      <c r="G33" s="6">
        <v>5.7000000000000002E-2</v>
      </c>
      <c r="H33" s="6">
        <v>5.7000000000000002E-2</v>
      </c>
      <c r="I33" s="7">
        <v>1</v>
      </c>
      <c r="J33" s="6">
        <v>-0.66700000000000004</v>
      </c>
      <c r="K33" s="7">
        <v>48</v>
      </c>
      <c r="L33" s="7">
        <v>0</v>
      </c>
      <c r="M33" s="7">
        <v>29412</v>
      </c>
      <c r="N33" s="7">
        <v>30725</v>
      </c>
      <c r="O33" s="6">
        <v>-4.2999999999999997E-2</v>
      </c>
      <c r="P33" s="7">
        <v>1743</v>
      </c>
      <c r="Q33" s="7">
        <v>1536</v>
      </c>
      <c r="R33" s="6">
        <v>0.13500000000000001</v>
      </c>
      <c r="S33" s="7">
        <v>1743.17</v>
      </c>
      <c r="T33" s="6">
        <v>2.4039999999999999</v>
      </c>
      <c r="U33" s="7">
        <v>19200</v>
      </c>
      <c r="V33" s="6">
        <v>-2.7E-2</v>
      </c>
      <c r="W33" s="6">
        <v>0</v>
      </c>
      <c r="X33" s="6">
        <v>0</v>
      </c>
      <c r="Y33" s="6">
        <v>0.35199999999999998</v>
      </c>
      <c r="Z33" s="6">
        <v>0.36499999999999999</v>
      </c>
      <c r="AA33" s="6">
        <v>-1.4E-2</v>
      </c>
      <c r="AB33" s="6">
        <v>0.35199999999999998</v>
      </c>
      <c r="AC33" s="6">
        <v>0.36499999999999999</v>
      </c>
      <c r="AD33" s="6">
        <v>-1.4E-2</v>
      </c>
      <c r="AE33" s="6">
        <v>0</v>
      </c>
      <c r="AF33" s="6">
        <v>0</v>
      </c>
      <c r="AG33" s="6">
        <v>0</v>
      </c>
      <c r="AH33" s="6">
        <v>0.55100000000000005</v>
      </c>
      <c r="AI33" s="6">
        <v>0.55800000000000005</v>
      </c>
      <c r="AJ33" s="6">
        <v>-8.0000000000000002E-3</v>
      </c>
      <c r="AK33" s="6">
        <v>0.66779999999999995</v>
      </c>
      <c r="AL33" s="7">
        <v>6378</v>
      </c>
    </row>
    <row r="34" spans="1:38" x14ac:dyDescent="0.25">
      <c r="A34" s="12" t="s">
        <v>61</v>
      </c>
      <c r="B34" s="12" t="s">
        <v>68</v>
      </c>
      <c r="C34" s="2" t="s">
        <v>69</v>
      </c>
      <c r="D34" s="2" t="s">
        <v>70</v>
      </c>
      <c r="E34" s="3">
        <v>1.002</v>
      </c>
      <c r="F34" s="3">
        <v>0</v>
      </c>
      <c r="G34" s="3">
        <v>0</v>
      </c>
      <c r="H34" s="3">
        <v>0</v>
      </c>
      <c r="I34" s="4">
        <v>0</v>
      </c>
      <c r="J34" s="3">
        <v>-1</v>
      </c>
      <c r="K34" s="4">
        <v>14</v>
      </c>
      <c r="L34" s="4">
        <v>0</v>
      </c>
      <c r="M34" s="4">
        <v>2806</v>
      </c>
      <c r="N34" s="4">
        <v>2801</v>
      </c>
      <c r="O34" s="3">
        <v>2E-3</v>
      </c>
      <c r="P34" s="4">
        <v>0</v>
      </c>
      <c r="Q34" s="4">
        <v>350</v>
      </c>
      <c r="R34" s="3">
        <v>-1</v>
      </c>
      <c r="S34" s="8"/>
      <c r="T34" s="8"/>
      <c r="U34" s="4">
        <v>2192</v>
      </c>
      <c r="V34" s="3">
        <v>3.0000000000000001E-3</v>
      </c>
      <c r="W34" s="3">
        <v>0</v>
      </c>
      <c r="X34" s="3">
        <v>0</v>
      </c>
      <c r="Y34" s="3">
        <v>6.6000000000000003E-2</v>
      </c>
      <c r="Z34" s="3">
        <v>7.0999999999999994E-2</v>
      </c>
      <c r="AA34" s="3">
        <v>-6.0000000000000001E-3</v>
      </c>
      <c r="AB34" s="3">
        <v>6.6000000000000003E-2</v>
      </c>
      <c r="AC34" s="3">
        <v>7.0999999999999994E-2</v>
      </c>
      <c r="AD34" s="3">
        <v>-6.0000000000000001E-3</v>
      </c>
      <c r="AE34" s="8"/>
      <c r="AF34" s="3">
        <v>0</v>
      </c>
      <c r="AG34" s="8"/>
      <c r="AH34" s="3">
        <v>0.217</v>
      </c>
      <c r="AI34" s="3">
        <v>0.221</v>
      </c>
      <c r="AJ34" s="3">
        <v>-5.0000000000000001E-3</v>
      </c>
      <c r="AK34" s="3">
        <v>0.44309999999999999</v>
      </c>
      <c r="AL34" s="4">
        <v>1221</v>
      </c>
    </row>
    <row r="35" spans="1:38" x14ac:dyDescent="0.25">
      <c r="A35" s="12" t="s">
        <v>61</v>
      </c>
      <c r="B35" s="12" t="s">
        <v>68</v>
      </c>
      <c r="C35" s="5" t="s">
        <v>42</v>
      </c>
      <c r="D35" s="5"/>
      <c r="E35" s="6">
        <v>1.002</v>
      </c>
      <c r="F35" s="6">
        <v>0</v>
      </c>
      <c r="G35" s="6">
        <v>0</v>
      </c>
      <c r="H35" s="6">
        <v>0</v>
      </c>
      <c r="I35" s="7">
        <v>0</v>
      </c>
      <c r="J35" s="6">
        <v>-1</v>
      </c>
      <c r="K35" s="7">
        <v>14</v>
      </c>
      <c r="L35" s="7">
        <v>0</v>
      </c>
      <c r="M35" s="7">
        <v>2806</v>
      </c>
      <c r="N35" s="7">
        <v>2801</v>
      </c>
      <c r="O35" s="6">
        <v>2E-3</v>
      </c>
      <c r="P35" s="7">
        <v>0</v>
      </c>
      <c r="Q35" s="7">
        <v>350</v>
      </c>
      <c r="R35" s="6">
        <v>-1</v>
      </c>
      <c r="S35" s="5"/>
      <c r="T35" s="5"/>
      <c r="U35" s="7">
        <v>2192</v>
      </c>
      <c r="V35" s="6">
        <v>3.0000000000000001E-3</v>
      </c>
      <c r="W35" s="6">
        <v>0</v>
      </c>
      <c r="X35" s="6">
        <v>0</v>
      </c>
      <c r="Y35" s="6">
        <v>6.6000000000000003E-2</v>
      </c>
      <c r="Z35" s="6">
        <v>7.0999999999999994E-2</v>
      </c>
      <c r="AA35" s="6">
        <v>-6.0000000000000001E-3</v>
      </c>
      <c r="AB35" s="6">
        <v>6.6000000000000003E-2</v>
      </c>
      <c r="AC35" s="6">
        <v>7.0999999999999994E-2</v>
      </c>
      <c r="AD35" s="6">
        <v>-6.0000000000000001E-3</v>
      </c>
      <c r="AE35" s="5"/>
      <c r="AF35" s="6">
        <v>0</v>
      </c>
      <c r="AG35" s="5"/>
      <c r="AH35" s="6">
        <v>0.217</v>
      </c>
      <c r="AI35" s="6">
        <v>0.221</v>
      </c>
      <c r="AJ35" s="6">
        <v>-5.0000000000000001E-3</v>
      </c>
      <c r="AK35" s="6">
        <v>0.44309999999999999</v>
      </c>
      <c r="AL35" s="7">
        <v>1221</v>
      </c>
    </row>
    <row r="36" spans="1:38" x14ac:dyDescent="0.25">
      <c r="A36" s="12" t="s">
        <v>61</v>
      </c>
      <c r="B36" s="12" t="s">
        <v>46</v>
      </c>
      <c r="C36" s="2" t="s">
        <v>71</v>
      </c>
      <c r="D36" s="2" t="s">
        <v>71</v>
      </c>
      <c r="E36" s="3">
        <v>1.07</v>
      </c>
      <c r="F36" s="3">
        <v>1.4999999999999999E-2</v>
      </c>
      <c r="G36" s="3">
        <v>0.03</v>
      </c>
      <c r="H36" s="3">
        <v>0</v>
      </c>
      <c r="I36" s="4">
        <v>1</v>
      </c>
      <c r="J36" s="3">
        <v>-0.75</v>
      </c>
      <c r="K36" s="4">
        <v>66</v>
      </c>
      <c r="L36" s="4">
        <v>0</v>
      </c>
      <c r="M36" s="4">
        <v>9980</v>
      </c>
      <c r="N36" s="4">
        <v>9075</v>
      </c>
      <c r="O36" s="3">
        <v>0.1</v>
      </c>
      <c r="P36" s="4">
        <v>271</v>
      </c>
      <c r="Q36" s="4">
        <v>1579</v>
      </c>
      <c r="R36" s="3">
        <v>-0.82899999999999996</v>
      </c>
      <c r="S36" s="4">
        <v>270.68</v>
      </c>
      <c r="T36" s="3">
        <v>-0.314</v>
      </c>
      <c r="U36" s="4">
        <v>11469</v>
      </c>
      <c r="V36" s="3">
        <v>7.5999999999999998E-2</v>
      </c>
      <c r="W36" s="3">
        <v>1.4999999999999999E-2</v>
      </c>
      <c r="X36" s="3">
        <v>2.0209999999999999</v>
      </c>
      <c r="Y36" s="3">
        <v>1.9750000000000001</v>
      </c>
      <c r="Z36" s="3">
        <v>0.36299999999999999</v>
      </c>
      <c r="AA36" s="3">
        <v>1.6120000000000001</v>
      </c>
      <c r="AB36" s="3">
        <v>1.9750000000000001</v>
      </c>
      <c r="AC36" s="3">
        <v>0.36299999999999999</v>
      </c>
      <c r="AD36" s="3">
        <v>1.6120000000000001</v>
      </c>
      <c r="AE36" s="3">
        <v>0</v>
      </c>
      <c r="AF36" s="3">
        <v>1.141</v>
      </c>
      <c r="AG36" s="3">
        <v>-1.141</v>
      </c>
      <c r="AH36" s="3">
        <v>2.173</v>
      </c>
      <c r="AI36" s="3">
        <v>0.56699999999999995</v>
      </c>
      <c r="AJ36" s="3">
        <v>1.605</v>
      </c>
      <c r="AK36" s="3">
        <v>2.3397000000000001</v>
      </c>
      <c r="AL36" s="4">
        <v>-15366</v>
      </c>
    </row>
    <row r="37" spans="1:38" x14ac:dyDescent="0.25">
      <c r="A37" s="12" t="s">
        <v>61</v>
      </c>
      <c r="B37" s="12" t="s">
        <v>46</v>
      </c>
      <c r="C37" s="2" t="s">
        <v>72</v>
      </c>
      <c r="D37" s="2" t="s">
        <v>72</v>
      </c>
      <c r="E37" s="3">
        <v>0.78800000000000003</v>
      </c>
      <c r="F37" s="3">
        <v>9.7000000000000003E-2</v>
      </c>
      <c r="G37" s="3">
        <v>0.28899999999999998</v>
      </c>
      <c r="H37" s="3">
        <v>0.25600000000000001</v>
      </c>
      <c r="I37" s="4">
        <v>3</v>
      </c>
      <c r="J37" s="3">
        <v>2</v>
      </c>
      <c r="K37" s="4">
        <v>31</v>
      </c>
      <c r="L37" s="4">
        <v>0</v>
      </c>
      <c r="M37" s="4">
        <v>3403</v>
      </c>
      <c r="N37" s="4">
        <v>3158</v>
      </c>
      <c r="O37" s="3">
        <v>7.6999999999999999E-2</v>
      </c>
      <c r="P37" s="4">
        <v>914</v>
      </c>
      <c r="Q37" s="4">
        <v>187</v>
      </c>
      <c r="R37" s="3">
        <v>3.8889999999999998</v>
      </c>
      <c r="S37" s="4">
        <v>304.56</v>
      </c>
      <c r="T37" s="3">
        <v>0.63</v>
      </c>
      <c r="U37" s="4">
        <v>2553</v>
      </c>
      <c r="V37" s="3">
        <v>7.3999999999999996E-2</v>
      </c>
      <c r="W37" s="3">
        <v>0</v>
      </c>
      <c r="X37" s="3">
        <v>0.88800000000000001</v>
      </c>
      <c r="Y37" s="3">
        <v>0.89700000000000002</v>
      </c>
      <c r="Z37" s="3">
        <v>1.0029999999999999</v>
      </c>
      <c r="AA37" s="3">
        <v>-0.106</v>
      </c>
      <c r="AB37" s="3">
        <v>0.89700000000000002</v>
      </c>
      <c r="AC37" s="3">
        <v>1.0029999999999999</v>
      </c>
      <c r="AD37" s="3">
        <v>-0.106</v>
      </c>
      <c r="AE37" s="3">
        <v>5.7140000000000004</v>
      </c>
      <c r="AF37" s="3">
        <v>0</v>
      </c>
      <c r="AG37" s="3">
        <v>5.7140000000000004</v>
      </c>
      <c r="AH37" s="3">
        <v>1.147</v>
      </c>
      <c r="AI37" s="3">
        <v>1.2549999999999999</v>
      </c>
      <c r="AJ37" s="3">
        <v>-0.107</v>
      </c>
      <c r="AK37" s="3">
        <v>1.3884000000000001</v>
      </c>
      <c r="AL37" s="4">
        <v>-992</v>
      </c>
    </row>
    <row r="38" spans="1:38" x14ac:dyDescent="0.25">
      <c r="A38" s="12" t="s">
        <v>61</v>
      </c>
      <c r="B38" s="12" t="s">
        <v>46</v>
      </c>
      <c r="C38" s="5" t="s">
        <v>42</v>
      </c>
      <c r="D38" s="5"/>
      <c r="E38" s="6">
        <v>0.997</v>
      </c>
      <c r="F38" s="6">
        <v>4.1000000000000002E-2</v>
      </c>
      <c r="G38" s="6">
        <v>9.7000000000000003E-2</v>
      </c>
      <c r="H38" s="6">
        <v>6.6000000000000003E-2</v>
      </c>
      <c r="I38" s="7">
        <v>4</v>
      </c>
      <c r="J38" s="6">
        <v>-0.2</v>
      </c>
      <c r="K38" s="7">
        <v>97</v>
      </c>
      <c r="L38" s="7">
        <v>0</v>
      </c>
      <c r="M38" s="7">
        <v>13382</v>
      </c>
      <c r="N38" s="7">
        <v>12233</v>
      </c>
      <c r="O38" s="6">
        <v>9.4E-2</v>
      </c>
      <c r="P38" s="7">
        <v>1184</v>
      </c>
      <c r="Q38" s="7">
        <v>1766</v>
      </c>
      <c r="R38" s="6">
        <v>-0.32900000000000001</v>
      </c>
      <c r="S38" s="7">
        <v>296.08999999999997</v>
      </c>
      <c r="T38" s="6">
        <v>-0.16200000000000001</v>
      </c>
      <c r="U38" s="7">
        <v>14022</v>
      </c>
      <c r="V38" s="6">
        <v>7.5999999999999998E-2</v>
      </c>
      <c r="W38" s="6">
        <v>1.2E-2</v>
      </c>
      <c r="X38" s="6">
        <v>1.8149999999999999</v>
      </c>
      <c r="Y38" s="6">
        <v>1.7789999999999999</v>
      </c>
      <c r="Z38" s="6">
        <v>0.47899999999999998</v>
      </c>
      <c r="AA38" s="6">
        <v>1.2989999999999999</v>
      </c>
      <c r="AB38" s="6">
        <v>1.7789999999999999</v>
      </c>
      <c r="AC38" s="6">
        <v>0.47899999999999998</v>
      </c>
      <c r="AD38" s="6">
        <v>1.2989999999999999</v>
      </c>
      <c r="AE38" s="6">
        <v>4.6760000000000002</v>
      </c>
      <c r="AF38" s="6">
        <v>1.044</v>
      </c>
      <c r="AG38" s="6">
        <v>3.633</v>
      </c>
      <c r="AH38" s="6">
        <v>1.986</v>
      </c>
      <c r="AI38" s="6">
        <v>0.69299999999999995</v>
      </c>
      <c r="AJ38" s="6">
        <v>1.2929999999999999</v>
      </c>
      <c r="AK38" s="6">
        <v>2.1665000000000001</v>
      </c>
      <c r="AL38" s="7">
        <v>-16357</v>
      </c>
    </row>
    <row r="39" spans="1:38" ht="33.75" x14ac:dyDescent="0.25">
      <c r="A39" s="12" t="s">
        <v>61</v>
      </c>
      <c r="B39" s="12" t="s">
        <v>73</v>
      </c>
      <c r="C39" s="2" t="s">
        <v>73</v>
      </c>
      <c r="D39" s="2" t="s">
        <v>74</v>
      </c>
      <c r="E39" s="3">
        <v>0.16500000000000001</v>
      </c>
      <c r="F39" s="3">
        <v>0</v>
      </c>
      <c r="G39" s="3">
        <v>0</v>
      </c>
      <c r="H39" s="3">
        <v>0</v>
      </c>
      <c r="I39" s="4">
        <v>0</v>
      </c>
      <c r="J39" s="3">
        <v>-1</v>
      </c>
      <c r="K39" s="4">
        <v>9</v>
      </c>
      <c r="L39" s="4">
        <v>0</v>
      </c>
      <c r="M39" s="4">
        <v>453</v>
      </c>
      <c r="N39" s="4">
        <v>2743</v>
      </c>
      <c r="O39" s="3">
        <v>-0.83499999999999996</v>
      </c>
      <c r="P39" s="4">
        <v>0</v>
      </c>
      <c r="Q39" s="4">
        <v>404</v>
      </c>
      <c r="R39" s="3">
        <v>-1</v>
      </c>
      <c r="S39" s="8"/>
      <c r="T39" s="8"/>
      <c r="U39" s="4">
        <v>1664</v>
      </c>
      <c r="V39" s="3">
        <v>-0.308</v>
      </c>
      <c r="W39" s="3">
        <v>0</v>
      </c>
      <c r="X39" s="3">
        <v>0</v>
      </c>
      <c r="Y39" s="3">
        <v>0.26800000000000002</v>
      </c>
      <c r="Z39" s="3">
        <v>0.89200000000000002</v>
      </c>
      <c r="AA39" s="3">
        <v>-0.624</v>
      </c>
      <c r="AB39" s="3">
        <v>0.26800000000000002</v>
      </c>
      <c r="AC39" s="3">
        <v>0.89200000000000002</v>
      </c>
      <c r="AD39" s="3">
        <v>-0.624</v>
      </c>
      <c r="AE39" s="8"/>
      <c r="AF39" s="3">
        <v>0</v>
      </c>
      <c r="AG39" s="8"/>
      <c r="AH39" s="3">
        <v>0.443</v>
      </c>
      <c r="AI39" s="3">
        <v>1.0669999999999999</v>
      </c>
      <c r="AJ39" s="3">
        <v>-0.624</v>
      </c>
      <c r="AK39" s="3">
        <v>0.55489999999999995</v>
      </c>
      <c r="AL39" s="4">
        <v>741</v>
      </c>
    </row>
    <row r="40" spans="1:38" x14ac:dyDescent="0.25">
      <c r="A40" s="12" t="s">
        <v>61</v>
      </c>
      <c r="B40" s="12" t="s">
        <v>73</v>
      </c>
      <c r="C40" s="5" t="s">
        <v>42</v>
      </c>
      <c r="D40" s="5"/>
      <c r="E40" s="6">
        <v>0.16500000000000001</v>
      </c>
      <c r="F40" s="6">
        <v>0</v>
      </c>
      <c r="G40" s="6">
        <v>0</v>
      </c>
      <c r="H40" s="6">
        <v>0</v>
      </c>
      <c r="I40" s="7">
        <v>0</v>
      </c>
      <c r="J40" s="6">
        <v>-1</v>
      </c>
      <c r="K40" s="7">
        <v>9</v>
      </c>
      <c r="L40" s="7">
        <v>0</v>
      </c>
      <c r="M40" s="7">
        <v>453</v>
      </c>
      <c r="N40" s="7">
        <v>2743</v>
      </c>
      <c r="O40" s="6">
        <v>-0.83499999999999996</v>
      </c>
      <c r="P40" s="7">
        <v>0</v>
      </c>
      <c r="Q40" s="7">
        <v>404</v>
      </c>
      <c r="R40" s="6">
        <v>-1</v>
      </c>
      <c r="S40" s="5"/>
      <c r="T40" s="5"/>
      <c r="U40" s="7">
        <v>1664</v>
      </c>
      <c r="V40" s="6">
        <v>-0.308</v>
      </c>
      <c r="W40" s="6">
        <v>0</v>
      </c>
      <c r="X40" s="6">
        <v>0</v>
      </c>
      <c r="Y40" s="6">
        <v>0.26800000000000002</v>
      </c>
      <c r="Z40" s="6">
        <v>0.89200000000000002</v>
      </c>
      <c r="AA40" s="6">
        <v>-0.624</v>
      </c>
      <c r="AB40" s="6">
        <v>0.26800000000000002</v>
      </c>
      <c r="AC40" s="6">
        <v>0.89200000000000002</v>
      </c>
      <c r="AD40" s="6">
        <v>-0.624</v>
      </c>
      <c r="AE40" s="5"/>
      <c r="AF40" s="6">
        <v>0</v>
      </c>
      <c r="AG40" s="5"/>
      <c r="AH40" s="6">
        <v>0.443</v>
      </c>
      <c r="AI40" s="6">
        <v>1.0669999999999999</v>
      </c>
      <c r="AJ40" s="6">
        <v>-0.624</v>
      </c>
      <c r="AK40" s="6">
        <v>0.55489999999999995</v>
      </c>
      <c r="AL40" s="7">
        <v>741</v>
      </c>
    </row>
    <row r="41" spans="1:38" x14ac:dyDescent="0.25">
      <c r="A41" s="12" t="s">
        <v>61</v>
      </c>
      <c r="B41" s="5" t="s">
        <v>42</v>
      </c>
      <c r="C41" s="5"/>
      <c r="D41" s="5"/>
      <c r="E41" s="6">
        <v>0.85799999999999998</v>
      </c>
      <c r="F41" s="6">
        <v>4.7E-2</v>
      </c>
      <c r="G41" s="6">
        <v>0.14499999999999999</v>
      </c>
      <c r="H41" s="6">
        <v>0.13300000000000001</v>
      </c>
      <c r="I41" s="7">
        <v>24</v>
      </c>
      <c r="J41" s="6">
        <v>-0.314</v>
      </c>
      <c r="K41" s="7">
        <v>372</v>
      </c>
      <c r="L41" s="7">
        <v>7</v>
      </c>
      <c r="M41" s="7">
        <v>77431</v>
      </c>
      <c r="N41" s="7">
        <v>77176</v>
      </c>
      <c r="O41" s="6">
        <v>3.0000000000000001E-3</v>
      </c>
      <c r="P41" s="7">
        <v>11201</v>
      </c>
      <c r="Q41" s="7">
        <v>12796</v>
      </c>
      <c r="R41" s="6">
        <v>-0.125</v>
      </c>
      <c r="S41" s="7">
        <v>507.57</v>
      </c>
      <c r="T41" s="6">
        <v>0.318</v>
      </c>
      <c r="U41" s="7">
        <v>66074</v>
      </c>
      <c r="V41" s="6">
        <v>-6.3E-2</v>
      </c>
      <c r="W41" s="6">
        <v>2.4E-2</v>
      </c>
      <c r="X41" s="6">
        <v>0.95799999999999996</v>
      </c>
      <c r="Y41" s="6">
        <v>1.107</v>
      </c>
      <c r="Z41" s="6">
        <v>0.72</v>
      </c>
      <c r="AA41" s="6">
        <v>0.38600000000000001</v>
      </c>
      <c r="AB41" s="6">
        <v>1.107</v>
      </c>
      <c r="AC41" s="6">
        <v>0.71899999999999997</v>
      </c>
      <c r="AD41" s="6">
        <v>0.38700000000000001</v>
      </c>
      <c r="AE41" s="6">
        <v>0.32600000000000001</v>
      </c>
      <c r="AF41" s="6">
        <v>1.0640000000000001</v>
      </c>
      <c r="AG41" s="6">
        <v>-0.73799999999999999</v>
      </c>
      <c r="AH41" s="6">
        <v>1.2869999999999999</v>
      </c>
      <c r="AI41" s="6">
        <v>0.89600000000000002</v>
      </c>
      <c r="AJ41" s="6">
        <v>0.39100000000000001</v>
      </c>
      <c r="AK41" s="6">
        <v>1.4378</v>
      </c>
      <c r="AL41" s="7">
        <v>-28927</v>
      </c>
    </row>
    <row r="42" spans="1:38" x14ac:dyDescent="0.25">
      <c r="A42" s="2" t="s">
        <v>75</v>
      </c>
      <c r="B42" s="2" t="s">
        <v>75</v>
      </c>
      <c r="C42" s="2" t="s">
        <v>75</v>
      </c>
      <c r="D42" s="2" t="s">
        <v>75</v>
      </c>
      <c r="E42" s="6">
        <v>0.93300000000000005</v>
      </c>
      <c r="F42" s="6">
        <v>4.4999999999999998E-2</v>
      </c>
      <c r="G42" s="6">
        <v>0.113</v>
      </c>
      <c r="H42" s="6">
        <v>8.4000000000000005E-2</v>
      </c>
      <c r="I42" s="7">
        <v>241</v>
      </c>
      <c r="J42" s="6">
        <v>0.217</v>
      </c>
      <c r="K42" s="7">
        <v>4040</v>
      </c>
      <c r="L42" s="7">
        <v>64</v>
      </c>
      <c r="M42" s="7">
        <v>554136</v>
      </c>
      <c r="N42" s="7">
        <v>529500</v>
      </c>
      <c r="O42" s="6">
        <v>4.7E-2</v>
      </c>
      <c r="P42" s="7">
        <v>60016</v>
      </c>
      <c r="Q42" s="7">
        <v>62373</v>
      </c>
      <c r="R42" s="6">
        <v>-3.7999999999999999E-2</v>
      </c>
      <c r="S42" s="7">
        <v>258.3</v>
      </c>
      <c r="T42" s="6">
        <v>-0.22900000000000001</v>
      </c>
      <c r="U42" s="7">
        <v>441461</v>
      </c>
      <c r="V42" s="6">
        <v>1.4E-2</v>
      </c>
      <c r="W42" s="6">
        <v>8.0000000000000002E-3</v>
      </c>
      <c r="X42" s="6">
        <v>0.77500000000000002</v>
      </c>
      <c r="Y42" s="6">
        <v>0.81799999999999995</v>
      </c>
      <c r="Z42" s="6">
        <v>0.54100000000000004</v>
      </c>
      <c r="AA42" s="6">
        <v>0.27700000000000002</v>
      </c>
      <c r="AB42" s="6">
        <v>0.81799999999999995</v>
      </c>
      <c r="AC42" s="6">
        <v>0.53900000000000003</v>
      </c>
      <c r="AD42" s="6">
        <v>0.27900000000000003</v>
      </c>
      <c r="AE42" s="6">
        <v>1.2</v>
      </c>
      <c r="AF42" s="6">
        <v>0.57299999999999995</v>
      </c>
      <c r="AG42" s="6">
        <v>0.626</v>
      </c>
      <c r="AH42" s="6">
        <v>0.93899999999999995</v>
      </c>
      <c r="AI42" s="6">
        <v>0.66300000000000003</v>
      </c>
      <c r="AJ42" s="6">
        <v>0.27600000000000002</v>
      </c>
      <c r="AK42" s="6">
        <v>1.1094999999999999</v>
      </c>
      <c r="AL42" s="7">
        <v>-48346</v>
      </c>
    </row>
    <row r="44" spans="1:38" x14ac:dyDescent="0.25">
      <c r="A44" t="s">
        <v>76</v>
      </c>
      <c r="B44" t="s">
        <v>76</v>
      </c>
      <c r="C44" t="s">
        <v>76</v>
      </c>
    </row>
    <row r="45" spans="1:38" x14ac:dyDescent="0.25">
      <c r="A45" s="9" t="s">
        <v>99</v>
      </c>
      <c r="B45" s="9" t="s">
        <v>101</v>
      </c>
    </row>
  </sheetData>
  <mergeCells count="18">
    <mergeCell ref="B28:B29"/>
    <mergeCell ref="B30:B31"/>
    <mergeCell ref="B32:B33"/>
    <mergeCell ref="B39:B40"/>
    <mergeCell ref="C19:C20"/>
    <mergeCell ref="A4:AL4"/>
    <mergeCell ref="A5:AL5"/>
    <mergeCell ref="A7:A25"/>
    <mergeCell ref="A26:A41"/>
    <mergeCell ref="B7:B9"/>
    <mergeCell ref="B10:B11"/>
    <mergeCell ref="B12:B13"/>
    <mergeCell ref="B14:B15"/>
    <mergeCell ref="B34:B35"/>
    <mergeCell ref="B36:B38"/>
    <mergeCell ref="B16:B22"/>
    <mergeCell ref="B23:B24"/>
    <mergeCell ref="B26:B27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4E14-D88D-4F7D-B9A1-D4F42CE2AC93}">
  <dimension ref="A4:AL45"/>
  <sheetViews>
    <sheetView topLeftCell="A28" workbookViewId="0">
      <selection activeCell="E42" sqref="E42"/>
    </sheetView>
  </sheetViews>
  <sheetFormatPr baseColWidth="10" defaultRowHeight="15" x14ac:dyDescent="0.25"/>
  <sheetData>
    <row r="4" spans="1:38" x14ac:dyDescent="0.25">
      <c r="A4" s="10" t="s">
        <v>100</v>
      </c>
      <c r="B4" s="10" t="s">
        <v>100</v>
      </c>
      <c r="C4" s="10" t="s">
        <v>100</v>
      </c>
      <c r="D4" s="10" t="s">
        <v>100</v>
      </c>
      <c r="E4" s="10" t="s">
        <v>100</v>
      </c>
      <c r="F4" s="10" t="s">
        <v>100</v>
      </c>
      <c r="G4" s="10" t="s">
        <v>100</v>
      </c>
      <c r="H4" s="10" t="s">
        <v>100</v>
      </c>
      <c r="I4" s="10" t="s">
        <v>100</v>
      </c>
      <c r="J4" s="10" t="s">
        <v>100</v>
      </c>
      <c r="K4" s="10" t="s">
        <v>100</v>
      </c>
      <c r="L4" s="10" t="s">
        <v>100</v>
      </c>
      <c r="M4" s="10" t="s">
        <v>100</v>
      </c>
      <c r="N4" s="10" t="s">
        <v>100</v>
      </c>
      <c r="O4" s="10" t="s">
        <v>100</v>
      </c>
      <c r="P4" s="10" t="s">
        <v>100</v>
      </c>
      <c r="Q4" s="10" t="s">
        <v>100</v>
      </c>
      <c r="R4" s="10" t="s">
        <v>100</v>
      </c>
      <c r="S4" s="10" t="s">
        <v>100</v>
      </c>
      <c r="T4" s="10" t="s">
        <v>100</v>
      </c>
      <c r="U4" s="10" t="s">
        <v>100</v>
      </c>
      <c r="V4" s="10" t="s">
        <v>100</v>
      </c>
      <c r="W4" s="10" t="s">
        <v>100</v>
      </c>
      <c r="X4" s="10" t="s">
        <v>100</v>
      </c>
      <c r="Y4" s="10" t="s">
        <v>100</v>
      </c>
      <c r="Z4" s="10" t="s">
        <v>100</v>
      </c>
      <c r="AA4" s="10" t="s">
        <v>100</v>
      </c>
      <c r="AB4" s="10" t="s">
        <v>100</v>
      </c>
      <c r="AC4" s="10" t="s">
        <v>100</v>
      </c>
      <c r="AD4" s="10" t="s">
        <v>100</v>
      </c>
      <c r="AE4" s="10" t="s">
        <v>100</v>
      </c>
      <c r="AF4" s="10" t="s">
        <v>100</v>
      </c>
      <c r="AG4" s="10" t="s">
        <v>100</v>
      </c>
      <c r="AH4" s="10" t="s">
        <v>100</v>
      </c>
      <c r="AI4" s="10" t="s">
        <v>100</v>
      </c>
      <c r="AJ4" s="10" t="s">
        <v>100</v>
      </c>
      <c r="AK4" s="10" t="s">
        <v>100</v>
      </c>
      <c r="AL4" s="10" t="s">
        <v>100</v>
      </c>
    </row>
    <row r="5" spans="1:38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 t="s">
        <v>1</v>
      </c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92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0.91800000000000004</v>
      </c>
      <c r="F7" s="3">
        <v>4.4999999999999998E-2</v>
      </c>
      <c r="G7" s="3">
        <v>0.36</v>
      </c>
      <c r="H7" s="3">
        <v>0.314</v>
      </c>
      <c r="I7" s="4">
        <v>4</v>
      </c>
      <c r="J7" s="8"/>
      <c r="K7" s="4">
        <v>25</v>
      </c>
      <c r="L7" s="4">
        <v>3</v>
      </c>
      <c r="M7" s="4">
        <v>1829</v>
      </c>
      <c r="N7" s="4">
        <v>1431</v>
      </c>
      <c r="O7" s="3">
        <v>0.27800000000000002</v>
      </c>
      <c r="P7" s="4">
        <v>516</v>
      </c>
      <c r="Q7" s="4">
        <v>0</v>
      </c>
      <c r="R7" s="8"/>
      <c r="S7" s="4">
        <v>128.97</v>
      </c>
      <c r="T7" s="8"/>
      <c r="U7" s="4">
        <v>1586</v>
      </c>
      <c r="V7" s="3">
        <v>-3.6999999999999998E-2</v>
      </c>
      <c r="W7" s="3">
        <v>2.8000000000000001E-2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8"/>
      <c r="AF7" s="8"/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4">
        <v>0</v>
      </c>
    </row>
    <row r="8" spans="1:38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1.0209999999999999</v>
      </c>
      <c r="F8" s="3">
        <v>0.02</v>
      </c>
      <c r="G8" s="3">
        <v>0</v>
      </c>
      <c r="H8" s="3">
        <v>0</v>
      </c>
      <c r="I8" s="4">
        <v>0</v>
      </c>
      <c r="J8" s="3">
        <v>-1</v>
      </c>
      <c r="K8" s="4">
        <v>48</v>
      </c>
      <c r="L8" s="4">
        <v>-1</v>
      </c>
      <c r="M8" s="4">
        <v>4758</v>
      </c>
      <c r="N8" s="4">
        <v>4661</v>
      </c>
      <c r="O8" s="3">
        <v>2.1000000000000001E-2</v>
      </c>
      <c r="P8" s="4">
        <v>0</v>
      </c>
      <c r="Q8" s="4">
        <v>333</v>
      </c>
      <c r="R8" s="3">
        <v>-1</v>
      </c>
      <c r="S8" s="8"/>
      <c r="T8" s="8"/>
      <c r="U8" s="4">
        <v>3550</v>
      </c>
      <c r="V8" s="3">
        <v>9.9000000000000005E-2</v>
      </c>
      <c r="W8" s="3">
        <v>0.03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8"/>
      <c r="AF8" s="8"/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4">
        <v>0</v>
      </c>
    </row>
    <row r="9" spans="1:38" x14ac:dyDescent="0.25">
      <c r="A9" s="12" t="s">
        <v>37</v>
      </c>
      <c r="B9" s="12" t="s">
        <v>38</v>
      </c>
      <c r="C9" s="5" t="s">
        <v>42</v>
      </c>
      <c r="D9" s="5"/>
      <c r="E9" s="6">
        <v>0.997</v>
      </c>
      <c r="F9" s="6">
        <v>2.8000000000000001E-2</v>
      </c>
      <c r="G9" s="6">
        <v>8.5000000000000006E-2</v>
      </c>
      <c r="H9" s="6">
        <v>7.3999999999999996E-2</v>
      </c>
      <c r="I9" s="7">
        <v>4</v>
      </c>
      <c r="J9" s="6">
        <v>1</v>
      </c>
      <c r="K9" s="7">
        <v>73</v>
      </c>
      <c r="L9" s="7">
        <v>2</v>
      </c>
      <c r="M9" s="7">
        <v>6587</v>
      </c>
      <c r="N9" s="7">
        <v>6092</v>
      </c>
      <c r="O9" s="6">
        <v>8.1000000000000003E-2</v>
      </c>
      <c r="P9" s="7">
        <v>516</v>
      </c>
      <c r="Q9" s="7">
        <v>333</v>
      </c>
      <c r="R9" s="6">
        <v>0.54800000000000004</v>
      </c>
      <c r="S9" s="7">
        <v>128.97</v>
      </c>
      <c r="T9" s="6">
        <v>-0.22600000000000001</v>
      </c>
      <c r="U9" s="7">
        <v>5136</v>
      </c>
      <c r="V9" s="6">
        <v>5.2999999999999999E-2</v>
      </c>
      <c r="W9" s="6">
        <v>0.03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5"/>
      <c r="AF9" s="5"/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7">
        <v>0</v>
      </c>
    </row>
    <row r="10" spans="1:38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0.94199999999999995</v>
      </c>
      <c r="F10" s="3">
        <v>5.6000000000000001E-2</v>
      </c>
      <c r="G10" s="3">
        <v>0.12</v>
      </c>
      <c r="H10" s="3">
        <v>8.5999999999999993E-2</v>
      </c>
      <c r="I10" s="4">
        <v>208</v>
      </c>
      <c r="J10" s="3">
        <v>0.38700000000000001</v>
      </c>
      <c r="K10" s="4">
        <v>2581</v>
      </c>
      <c r="L10" s="4">
        <v>66</v>
      </c>
      <c r="M10" s="4">
        <v>462579</v>
      </c>
      <c r="N10" s="4">
        <v>435426</v>
      </c>
      <c r="O10" s="3">
        <v>6.2E-2</v>
      </c>
      <c r="P10" s="4">
        <v>52215</v>
      </c>
      <c r="Q10" s="4">
        <v>49695</v>
      </c>
      <c r="R10" s="3">
        <v>5.0999999999999997E-2</v>
      </c>
      <c r="S10" s="4">
        <v>255.87</v>
      </c>
      <c r="T10" s="3">
        <v>-0.27100000000000002</v>
      </c>
      <c r="U10" s="4">
        <v>375514</v>
      </c>
      <c r="V10" s="3">
        <v>2.5000000000000001E-2</v>
      </c>
      <c r="W10" s="3">
        <v>6.0000000000000001E-3</v>
      </c>
      <c r="X10" s="3">
        <v>0.79300000000000004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8"/>
      <c r="AF10" s="8"/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4">
        <v>0</v>
      </c>
    </row>
    <row r="11" spans="1:38" x14ac:dyDescent="0.25">
      <c r="A11" s="12" t="s">
        <v>37</v>
      </c>
      <c r="B11" s="12" t="s">
        <v>43</v>
      </c>
      <c r="C11" s="5" t="s">
        <v>42</v>
      </c>
      <c r="D11" s="5"/>
      <c r="E11" s="6">
        <v>0.94199999999999995</v>
      </c>
      <c r="F11" s="6">
        <v>5.6000000000000001E-2</v>
      </c>
      <c r="G11" s="6">
        <v>0.12</v>
      </c>
      <c r="H11" s="6">
        <v>8.5999999999999993E-2</v>
      </c>
      <c r="I11" s="7">
        <v>208</v>
      </c>
      <c r="J11" s="6">
        <v>0.38700000000000001</v>
      </c>
      <c r="K11" s="7">
        <v>2581</v>
      </c>
      <c r="L11" s="7">
        <v>66</v>
      </c>
      <c r="M11" s="7">
        <v>462579</v>
      </c>
      <c r="N11" s="7">
        <v>435426</v>
      </c>
      <c r="O11" s="6">
        <v>6.2E-2</v>
      </c>
      <c r="P11" s="7">
        <v>52215</v>
      </c>
      <c r="Q11" s="7">
        <v>49695</v>
      </c>
      <c r="R11" s="6">
        <v>5.0999999999999997E-2</v>
      </c>
      <c r="S11" s="7">
        <v>255.87</v>
      </c>
      <c r="T11" s="6">
        <v>-0.27100000000000002</v>
      </c>
      <c r="U11" s="7">
        <v>375514</v>
      </c>
      <c r="V11" s="6">
        <v>2.5000000000000001E-2</v>
      </c>
      <c r="W11" s="6">
        <v>6.0000000000000001E-3</v>
      </c>
      <c r="X11" s="6">
        <v>0.79300000000000004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5"/>
      <c r="AF11" s="5"/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7">
        <v>0</v>
      </c>
    </row>
    <row r="12" spans="1:38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0.93700000000000006</v>
      </c>
      <c r="F12" s="3">
        <v>4.2999999999999997E-2</v>
      </c>
      <c r="G12" s="3">
        <v>8.8999999999999996E-2</v>
      </c>
      <c r="H12" s="3">
        <v>5.6000000000000001E-2</v>
      </c>
      <c r="I12" s="4">
        <v>32</v>
      </c>
      <c r="J12" s="3">
        <v>-0.17899999999999999</v>
      </c>
      <c r="K12" s="4">
        <v>751</v>
      </c>
      <c r="L12" s="4">
        <v>0</v>
      </c>
      <c r="M12" s="4">
        <v>66464</v>
      </c>
      <c r="N12" s="4">
        <v>64753</v>
      </c>
      <c r="O12" s="3">
        <v>2.5999999999999999E-2</v>
      </c>
      <c r="P12" s="4">
        <v>5790</v>
      </c>
      <c r="Q12" s="4">
        <v>7288</v>
      </c>
      <c r="R12" s="3">
        <v>-0.20499999999999999</v>
      </c>
      <c r="S12" s="4">
        <v>180.95</v>
      </c>
      <c r="T12" s="3">
        <v>-3.2000000000000001E-2</v>
      </c>
      <c r="U12" s="4">
        <v>65557</v>
      </c>
      <c r="V12" s="3">
        <v>0.04</v>
      </c>
      <c r="W12" s="3">
        <v>4.0000000000000001E-3</v>
      </c>
      <c r="X12" s="3">
        <v>0.45500000000000002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8"/>
      <c r="AF12" s="8"/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4">
        <v>0</v>
      </c>
    </row>
    <row r="13" spans="1:38" x14ac:dyDescent="0.25">
      <c r="A13" s="12" t="s">
        <v>37</v>
      </c>
      <c r="B13" s="12" t="s">
        <v>45</v>
      </c>
      <c r="C13" s="5" t="s">
        <v>42</v>
      </c>
      <c r="D13" s="5"/>
      <c r="E13" s="6">
        <v>0.93700000000000006</v>
      </c>
      <c r="F13" s="6">
        <v>4.2999999999999997E-2</v>
      </c>
      <c r="G13" s="6">
        <v>8.8999999999999996E-2</v>
      </c>
      <c r="H13" s="6">
        <v>5.6000000000000001E-2</v>
      </c>
      <c r="I13" s="7">
        <v>32</v>
      </c>
      <c r="J13" s="6">
        <v>-0.17899999999999999</v>
      </c>
      <c r="K13" s="7">
        <v>751</v>
      </c>
      <c r="L13" s="7">
        <v>0</v>
      </c>
      <c r="M13" s="7">
        <v>66464</v>
      </c>
      <c r="N13" s="7">
        <v>64753</v>
      </c>
      <c r="O13" s="6">
        <v>2.5999999999999999E-2</v>
      </c>
      <c r="P13" s="7">
        <v>5790</v>
      </c>
      <c r="Q13" s="7">
        <v>7288</v>
      </c>
      <c r="R13" s="6">
        <v>-0.20499999999999999</v>
      </c>
      <c r="S13" s="7">
        <v>180.95</v>
      </c>
      <c r="T13" s="6">
        <v>-3.2000000000000001E-2</v>
      </c>
      <c r="U13" s="7">
        <v>65557</v>
      </c>
      <c r="V13" s="6">
        <v>0.04</v>
      </c>
      <c r="W13" s="6">
        <v>4.0000000000000001E-3</v>
      </c>
      <c r="X13" s="6">
        <v>0.45500000000000002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5"/>
      <c r="AF13" s="5"/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7">
        <v>0</v>
      </c>
    </row>
    <row r="14" spans="1:38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1.0029999999999999</v>
      </c>
      <c r="F14" s="3">
        <v>4.2000000000000003E-2</v>
      </c>
      <c r="G14" s="3">
        <v>0</v>
      </c>
      <c r="H14" s="3">
        <v>0</v>
      </c>
      <c r="I14" s="4">
        <v>0</v>
      </c>
      <c r="J14" s="3">
        <v>-1</v>
      </c>
      <c r="K14" s="4">
        <v>23</v>
      </c>
      <c r="L14" s="4">
        <v>-1</v>
      </c>
      <c r="M14" s="4">
        <v>5114</v>
      </c>
      <c r="N14" s="4">
        <v>5101</v>
      </c>
      <c r="O14" s="3">
        <v>3.0000000000000001E-3</v>
      </c>
      <c r="P14" s="4">
        <v>0</v>
      </c>
      <c r="Q14" s="4">
        <v>999</v>
      </c>
      <c r="R14" s="3">
        <v>-1</v>
      </c>
      <c r="S14" s="8"/>
      <c r="T14" s="8"/>
      <c r="U14" s="4">
        <v>7198</v>
      </c>
      <c r="V14" s="3">
        <v>3.2000000000000001E-2</v>
      </c>
      <c r="W14" s="3">
        <v>0</v>
      </c>
      <c r="X14" s="3">
        <v>1.0429999999999999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8"/>
      <c r="AF14" s="8"/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4">
        <v>0</v>
      </c>
    </row>
    <row r="15" spans="1:38" x14ac:dyDescent="0.25">
      <c r="A15" s="12" t="s">
        <v>37</v>
      </c>
      <c r="B15" s="12" t="s">
        <v>46</v>
      </c>
      <c r="C15" s="5" t="s">
        <v>42</v>
      </c>
      <c r="D15" s="5"/>
      <c r="E15" s="6">
        <v>1.0029999999999999</v>
      </c>
      <c r="F15" s="6">
        <v>4.2000000000000003E-2</v>
      </c>
      <c r="G15" s="6">
        <v>0</v>
      </c>
      <c r="H15" s="6">
        <v>0</v>
      </c>
      <c r="I15" s="7">
        <v>0</v>
      </c>
      <c r="J15" s="6">
        <v>-1</v>
      </c>
      <c r="K15" s="7">
        <v>23</v>
      </c>
      <c r="L15" s="7">
        <v>-1</v>
      </c>
      <c r="M15" s="7">
        <v>5114</v>
      </c>
      <c r="N15" s="7">
        <v>5101</v>
      </c>
      <c r="O15" s="6">
        <v>3.0000000000000001E-3</v>
      </c>
      <c r="P15" s="7">
        <v>0</v>
      </c>
      <c r="Q15" s="7">
        <v>999</v>
      </c>
      <c r="R15" s="6">
        <v>-1</v>
      </c>
      <c r="S15" s="5"/>
      <c r="T15" s="5"/>
      <c r="U15" s="7">
        <v>7198</v>
      </c>
      <c r="V15" s="6">
        <v>3.2000000000000001E-2</v>
      </c>
      <c r="W15" s="6">
        <v>0</v>
      </c>
      <c r="X15" s="6">
        <v>1.0429999999999999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5"/>
      <c r="AF15" s="5"/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7">
        <v>0</v>
      </c>
    </row>
    <row r="16" spans="1:38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4</v>
      </c>
      <c r="G16" s="3">
        <v>0.32300000000000001</v>
      </c>
      <c r="H16" s="3">
        <v>0.11600000000000001</v>
      </c>
      <c r="I16" s="4">
        <v>4</v>
      </c>
      <c r="J16" s="3">
        <v>-0.2</v>
      </c>
      <c r="K16" s="4">
        <v>1</v>
      </c>
      <c r="L16" s="4">
        <v>0</v>
      </c>
      <c r="M16" s="4">
        <v>357</v>
      </c>
      <c r="N16" s="4">
        <v>1106</v>
      </c>
      <c r="O16" s="3">
        <v>-0.67700000000000005</v>
      </c>
      <c r="P16" s="4">
        <v>357</v>
      </c>
      <c r="Q16" s="4">
        <v>1106</v>
      </c>
      <c r="R16" s="3">
        <v>-0.67700000000000005</v>
      </c>
      <c r="S16" s="4">
        <v>1630.45</v>
      </c>
      <c r="T16" s="3">
        <v>-0.14299999999999999</v>
      </c>
      <c r="U16" s="4">
        <v>492</v>
      </c>
      <c r="V16" s="3">
        <v>-0.4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8"/>
      <c r="AF16" s="8"/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4">
        <v>0</v>
      </c>
    </row>
    <row r="17" spans="1:38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0.77800000000000002</v>
      </c>
      <c r="F17" s="3">
        <v>0.25</v>
      </c>
      <c r="G17" s="3">
        <v>0</v>
      </c>
      <c r="H17" s="3">
        <v>0</v>
      </c>
      <c r="I17" s="4">
        <v>0</v>
      </c>
      <c r="J17" s="3">
        <v>-1</v>
      </c>
      <c r="K17" s="4">
        <v>6</v>
      </c>
      <c r="L17" s="4">
        <v>-2</v>
      </c>
      <c r="M17" s="4">
        <v>675</v>
      </c>
      <c r="N17" s="4">
        <v>868</v>
      </c>
      <c r="O17" s="3">
        <v>-0.222</v>
      </c>
      <c r="P17" s="4">
        <v>0</v>
      </c>
      <c r="Q17" s="4">
        <v>98</v>
      </c>
      <c r="R17" s="3">
        <v>-1</v>
      </c>
      <c r="S17" s="8"/>
      <c r="T17" s="8"/>
      <c r="U17" s="4">
        <v>417</v>
      </c>
      <c r="V17" s="3">
        <v>-0.02</v>
      </c>
      <c r="W17" s="3">
        <v>0.23400000000000001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8"/>
      <c r="AF17" s="8"/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4">
        <v>0</v>
      </c>
    </row>
    <row r="18" spans="1:38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1.05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5</v>
      </c>
      <c r="L18" s="4">
        <v>0</v>
      </c>
      <c r="M18" s="4">
        <v>68</v>
      </c>
      <c r="N18" s="4">
        <v>65</v>
      </c>
      <c r="O18" s="3">
        <v>0.05</v>
      </c>
      <c r="P18" s="4">
        <v>0</v>
      </c>
      <c r="Q18" s="4">
        <v>0</v>
      </c>
      <c r="R18" s="8"/>
      <c r="S18" s="8"/>
      <c r="T18" s="8"/>
      <c r="U18" s="4">
        <v>153</v>
      </c>
      <c r="V18" s="3">
        <v>-4.2000000000000003E-2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8"/>
      <c r="AF18" s="8"/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4">
        <v>0</v>
      </c>
    </row>
    <row r="19" spans="1:38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1.0449999999999999</v>
      </c>
      <c r="F19" s="3">
        <v>1.7999999999999999E-2</v>
      </c>
      <c r="G19" s="3">
        <v>0.16900000000000001</v>
      </c>
      <c r="H19" s="3">
        <v>0.16900000000000001</v>
      </c>
      <c r="I19" s="4">
        <v>1</v>
      </c>
      <c r="J19" s="3">
        <v>-0.5</v>
      </c>
      <c r="K19" s="4">
        <v>109</v>
      </c>
      <c r="L19" s="4">
        <v>-1</v>
      </c>
      <c r="M19" s="4">
        <v>108</v>
      </c>
      <c r="N19" s="4">
        <v>89</v>
      </c>
      <c r="O19" s="3">
        <v>0.214</v>
      </c>
      <c r="P19" s="4">
        <v>15</v>
      </c>
      <c r="Q19" s="4">
        <v>30</v>
      </c>
      <c r="R19" s="3">
        <v>-0.496</v>
      </c>
      <c r="S19" s="4">
        <v>15.07</v>
      </c>
      <c r="T19" s="3">
        <v>8.0000000000000002E-3</v>
      </c>
      <c r="U19" s="4">
        <v>858</v>
      </c>
      <c r="V19" s="3">
        <v>-2.8000000000000001E-2</v>
      </c>
      <c r="W19" s="3">
        <v>5.0000000000000001E-3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8"/>
      <c r="AF19" s="8"/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4">
        <v>0</v>
      </c>
    </row>
    <row r="20" spans="1:38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0.89500000000000002</v>
      </c>
      <c r="F20" s="3">
        <v>5.6000000000000001E-2</v>
      </c>
      <c r="G20" s="3">
        <v>0.71199999999999997</v>
      </c>
      <c r="H20" s="3">
        <v>0.66600000000000004</v>
      </c>
      <c r="I20" s="4">
        <v>5</v>
      </c>
      <c r="J20" s="3">
        <v>0.25</v>
      </c>
      <c r="K20" s="4">
        <v>39</v>
      </c>
      <c r="L20" s="4">
        <v>3</v>
      </c>
      <c r="M20" s="4">
        <v>1577</v>
      </c>
      <c r="N20" s="4">
        <v>981</v>
      </c>
      <c r="O20" s="3">
        <v>0.60799999999999998</v>
      </c>
      <c r="P20" s="4">
        <v>699</v>
      </c>
      <c r="Q20" s="4">
        <v>245</v>
      </c>
      <c r="R20" s="3">
        <v>1.857</v>
      </c>
      <c r="S20" s="4">
        <v>139.74</v>
      </c>
      <c r="T20" s="3">
        <v>0.81899999999999995</v>
      </c>
      <c r="U20" s="4">
        <v>3164</v>
      </c>
      <c r="V20" s="3">
        <v>0.33400000000000002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8"/>
      <c r="AF20" s="8"/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4">
        <v>0</v>
      </c>
    </row>
    <row r="21" spans="1:38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0.63700000000000001</v>
      </c>
      <c r="F21" s="3">
        <v>6.7000000000000004E-2</v>
      </c>
      <c r="G21" s="3">
        <v>0</v>
      </c>
      <c r="H21" s="3">
        <v>0</v>
      </c>
      <c r="I21" s="4">
        <v>0</v>
      </c>
      <c r="J21" s="8"/>
      <c r="K21" s="4">
        <v>28</v>
      </c>
      <c r="L21" s="4">
        <v>-2</v>
      </c>
      <c r="M21" s="4">
        <v>653</v>
      </c>
      <c r="N21" s="4">
        <v>1024</v>
      </c>
      <c r="O21" s="3">
        <v>-0.36299999999999999</v>
      </c>
      <c r="P21" s="4">
        <v>0</v>
      </c>
      <c r="Q21" s="4">
        <v>0</v>
      </c>
      <c r="R21" s="8"/>
      <c r="S21" s="8"/>
      <c r="T21" s="8"/>
      <c r="U21" s="4">
        <v>1311</v>
      </c>
      <c r="V21" s="3">
        <v>-0.105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8"/>
      <c r="AF21" s="8"/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4">
        <v>0</v>
      </c>
    </row>
    <row r="22" spans="1:38" x14ac:dyDescent="0.25">
      <c r="A22" s="12" t="s">
        <v>37</v>
      </c>
      <c r="B22" s="12" t="s">
        <v>48</v>
      </c>
      <c r="C22" s="5" t="s">
        <v>42</v>
      </c>
      <c r="D22" s="5"/>
      <c r="E22" s="6">
        <v>0.57299999999999995</v>
      </c>
      <c r="F22" s="6">
        <v>6.3E-2</v>
      </c>
      <c r="G22" s="6">
        <v>0.25900000000000001</v>
      </c>
      <c r="H22" s="6">
        <v>0.193</v>
      </c>
      <c r="I22" s="7">
        <v>10</v>
      </c>
      <c r="J22" s="6">
        <v>-0.16700000000000001</v>
      </c>
      <c r="K22" s="7">
        <v>188</v>
      </c>
      <c r="L22" s="7">
        <v>-2</v>
      </c>
      <c r="M22" s="7">
        <v>3439</v>
      </c>
      <c r="N22" s="7">
        <v>4133</v>
      </c>
      <c r="O22" s="6">
        <v>-0.16800000000000001</v>
      </c>
      <c r="P22" s="7">
        <v>1071</v>
      </c>
      <c r="Q22" s="7">
        <v>1478</v>
      </c>
      <c r="R22" s="6">
        <v>-0.27500000000000002</v>
      </c>
      <c r="S22" s="7">
        <v>172.23</v>
      </c>
      <c r="T22" s="6">
        <v>-0.21199999999999999</v>
      </c>
      <c r="U22" s="7">
        <v>6396</v>
      </c>
      <c r="V22" s="6">
        <v>4.3999999999999997E-2</v>
      </c>
      <c r="W22" s="6">
        <v>1.4999999999999999E-2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5"/>
      <c r="AF22" s="5"/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7">
        <v>0</v>
      </c>
    </row>
    <row r="23" spans="1:38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1.032</v>
      </c>
      <c r="F23" s="3">
        <v>6.8000000000000005E-2</v>
      </c>
      <c r="G23" s="3">
        <v>0.32400000000000001</v>
      </c>
      <c r="H23" s="3">
        <v>0.22</v>
      </c>
      <c r="I23" s="4">
        <v>13</v>
      </c>
      <c r="J23" s="3">
        <v>2.25</v>
      </c>
      <c r="K23" s="4">
        <v>68</v>
      </c>
      <c r="L23" s="4">
        <v>9</v>
      </c>
      <c r="M23" s="4">
        <v>16332</v>
      </c>
      <c r="N23" s="4">
        <v>12046</v>
      </c>
      <c r="O23" s="3">
        <v>0.35599999999999998</v>
      </c>
      <c r="P23" s="4">
        <v>3905</v>
      </c>
      <c r="Q23" s="4">
        <v>2649</v>
      </c>
      <c r="R23" s="3">
        <v>0.47399999999999998</v>
      </c>
      <c r="S23" s="4">
        <v>300.39999999999998</v>
      </c>
      <c r="T23" s="3">
        <v>-0.54600000000000004</v>
      </c>
      <c r="U23" s="4">
        <v>13312</v>
      </c>
      <c r="V23" s="3">
        <v>0.13500000000000001</v>
      </c>
      <c r="W23" s="3">
        <v>1E-3</v>
      </c>
      <c r="X23" s="3">
        <v>0.47199999999999998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8"/>
      <c r="AF23" s="8"/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4">
        <v>0</v>
      </c>
    </row>
    <row r="24" spans="1:38" x14ac:dyDescent="0.25">
      <c r="A24" s="12" t="s">
        <v>37</v>
      </c>
      <c r="B24" s="12" t="s">
        <v>59</v>
      </c>
      <c r="C24" s="5" t="s">
        <v>42</v>
      </c>
      <c r="D24" s="5"/>
      <c r="E24" s="6">
        <v>1.032</v>
      </c>
      <c r="F24" s="6">
        <v>6.8000000000000005E-2</v>
      </c>
      <c r="G24" s="6">
        <v>0.32400000000000001</v>
      </c>
      <c r="H24" s="6">
        <v>0.22</v>
      </c>
      <c r="I24" s="7">
        <v>13</v>
      </c>
      <c r="J24" s="6">
        <v>2.25</v>
      </c>
      <c r="K24" s="7">
        <v>68</v>
      </c>
      <c r="L24" s="7">
        <v>9</v>
      </c>
      <c r="M24" s="7">
        <v>16332</v>
      </c>
      <c r="N24" s="7">
        <v>12046</v>
      </c>
      <c r="O24" s="6">
        <v>0.35599999999999998</v>
      </c>
      <c r="P24" s="7">
        <v>3905</v>
      </c>
      <c r="Q24" s="7">
        <v>2649</v>
      </c>
      <c r="R24" s="6">
        <v>0.47399999999999998</v>
      </c>
      <c r="S24" s="7">
        <v>300.39999999999998</v>
      </c>
      <c r="T24" s="6">
        <v>-0.54600000000000004</v>
      </c>
      <c r="U24" s="7">
        <v>13312</v>
      </c>
      <c r="V24" s="6">
        <v>0.13500000000000001</v>
      </c>
      <c r="W24" s="6">
        <v>1E-3</v>
      </c>
      <c r="X24" s="6">
        <v>0.47199999999999998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5"/>
      <c r="AF24" s="5"/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7">
        <v>0</v>
      </c>
    </row>
    <row r="25" spans="1:38" x14ac:dyDescent="0.25">
      <c r="A25" s="12" t="s">
        <v>37</v>
      </c>
      <c r="B25" s="5" t="s">
        <v>42</v>
      </c>
      <c r="C25" s="5"/>
      <c r="D25" s="5"/>
      <c r="E25" s="6">
        <v>0.94199999999999995</v>
      </c>
      <c r="F25" s="6">
        <v>5.2999999999999999E-2</v>
      </c>
      <c r="G25" s="6">
        <v>0.12</v>
      </c>
      <c r="H25" s="6">
        <v>8.5000000000000006E-2</v>
      </c>
      <c r="I25" s="7">
        <v>267</v>
      </c>
      <c r="J25" s="6">
        <v>0.28399999999999997</v>
      </c>
      <c r="K25" s="7">
        <v>3684</v>
      </c>
      <c r="L25" s="7">
        <v>74</v>
      </c>
      <c r="M25" s="7">
        <v>560515</v>
      </c>
      <c r="N25" s="7">
        <v>527551</v>
      </c>
      <c r="O25" s="6">
        <v>6.2E-2</v>
      </c>
      <c r="P25" s="7">
        <v>63498</v>
      </c>
      <c r="Q25" s="7">
        <v>62442</v>
      </c>
      <c r="R25" s="6">
        <v>1.7000000000000001E-2</v>
      </c>
      <c r="S25" s="7">
        <v>244.89</v>
      </c>
      <c r="T25" s="6">
        <v>-0.23799999999999999</v>
      </c>
      <c r="U25" s="7">
        <v>473113</v>
      </c>
      <c r="V25" s="6">
        <v>0.03</v>
      </c>
      <c r="W25" s="6">
        <v>6.0000000000000001E-3</v>
      </c>
      <c r="X25" s="6">
        <v>0.72199999999999998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5"/>
      <c r="AF25" s="5"/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7">
        <v>0</v>
      </c>
    </row>
    <row r="26" spans="1:38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0.92100000000000004</v>
      </c>
      <c r="F26" s="3">
        <v>0.08</v>
      </c>
      <c r="G26" s="3">
        <v>0.183</v>
      </c>
      <c r="H26" s="3">
        <v>8.8999999999999996E-2</v>
      </c>
      <c r="I26" s="4">
        <v>5</v>
      </c>
      <c r="J26" s="3">
        <v>-0.16700000000000001</v>
      </c>
      <c r="K26" s="4">
        <v>85</v>
      </c>
      <c r="L26" s="4">
        <v>-2</v>
      </c>
      <c r="M26" s="4">
        <v>3986</v>
      </c>
      <c r="N26" s="4">
        <v>3610</v>
      </c>
      <c r="O26" s="3">
        <v>0.104</v>
      </c>
      <c r="P26" s="4">
        <v>660</v>
      </c>
      <c r="Q26" s="4">
        <v>764</v>
      </c>
      <c r="R26" s="3">
        <v>-0.13600000000000001</v>
      </c>
      <c r="S26" s="4">
        <v>215.13</v>
      </c>
      <c r="T26" s="3">
        <v>0.46</v>
      </c>
      <c r="U26" s="4">
        <v>3870</v>
      </c>
      <c r="V26" s="3">
        <v>-7.0000000000000007E-2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8"/>
      <c r="AF26" s="8"/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4">
        <v>0</v>
      </c>
    </row>
    <row r="27" spans="1:38" x14ac:dyDescent="0.25">
      <c r="A27" s="12" t="s">
        <v>61</v>
      </c>
      <c r="B27" s="12" t="s">
        <v>39</v>
      </c>
      <c r="C27" s="5" t="s">
        <v>42</v>
      </c>
      <c r="D27" s="5"/>
      <c r="E27" s="6">
        <v>0.92100000000000004</v>
      </c>
      <c r="F27" s="6">
        <v>0.08</v>
      </c>
      <c r="G27" s="6">
        <v>0.183</v>
      </c>
      <c r="H27" s="6">
        <v>8.8999999999999996E-2</v>
      </c>
      <c r="I27" s="7">
        <v>5</v>
      </c>
      <c r="J27" s="6">
        <v>-0.16700000000000001</v>
      </c>
      <c r="K27" s="7">
        <v>85</v>
      </c>
      <c r="L27" s="7">
        <v>-2</v>
      </c>
      <c r="M27" s="7">
        <v>3986</v>
      </c>
      <c r="N27" s="7">
        <v>3610</v>
      </c>
      <c r="O27" s="6">
        <v>0.104</v>
      </c>
      <c r="P27" s="7">
        <v>660</v>
      </c>
      <c r="Q27" s="7">
        <v>764</v>
      </c>
      <c r="R27" s="6">
        <v>-0.13600000000000001</v>
      </c>
      <c r="S27" s="7">
        <v>215.13</v>
      </c>
      <c r="T27" s="6">
        <v>0.46</v>
      </c>
      <c r="U27" s="7">
        <v>3870</v>
      </c>
      <c r="V27" s="6">
        <v>-7.0000000000000007E-2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5"/>
      <c r="AF27" s="5"/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7">
        <v>0</v>
      </c>
    </row>
    <row r="28" spans="1:38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0.122</v>
      </c>
      <c r="F28" s="3">
        <v>4.8000000000000001E-2</v>
      </c>
      <c r="G28" s="3">
        <v>0.90700000000000003</v>
      </c>
      <c r="H28" s="3">
        <v>0.90700000000000003</v>
      </c>
      <c r="I28" s="4">
        <v>14</v>
      </c>
      <c r="J28" s="3">
        <v>-0.26300000000000001</v>
      </c>
      <c r="K28" s="4">
        <v>73</v>
      </c>
      <c r="L28" s="4">
        <v>11</v>
      </c>
      <c r="M28" s="4">
        <v>8883</v>
      </c>
      <c r="N28" s="4">
        <v>8631</v>
      </c>
      <c r="O28" s="3">
        <v>2.9000000000000001E-2</v>
      </c>
      <c r="P28" s="4">
        <v>7830</v>
      </c>
      <c r="Q28" s="4">
        <v>6682</v>
      </c>
      <c r="R28" s="3">
        <v>0.17199999999999999</v>
      </c>
      <c r="S28" s="4">
        <v>559.29999999999995</v>
      </c>
      <c r="T28" s="3">
        <v>0.50700000000000001</v>
      </c>
      <c r="U28" s="4">
        <v>11538</v>
      </c>
      <c r="V28" s="3">
        <v>-0.23400000000000001</v>
      </c>
      <c r="W28" s="3">
        <v>0</v>
      </c>
      <c r="X28" s="3">
        <v>0.67700000000000005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8"/>
      <c r="AF28" s="8"/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4">
        <v>0</v>
      </c>
    </row>
    <row r="29" spans="1:38" x14ac:dyDescent="0.25">
      <c r="A29" s="12" t="s">
        <v>61</v>
      </c>
      <c r="B29" s="12" t="s">
        <v>43</v>
      </c>
      <c r="C29" s="5" t="s">
        <v>42</v>
      </c>
      <c r="D29" s="5"/>
      <c r="E29" s="6">
        <v>0.122</v>
      </c>
      <c r="F29" s="6">
        <v>4.8000000000000001E-2</v>
      </c>
      <c r="G29" s="6">
        <v>0.90700000000000003</v>
      </c>
      <c r="H29" s="6">
        <v>0.90700000000000003</v>
      </c>
      <c r="I29" s="7">
        <v>14</v>
      </c>
      <c r="J29" s="6">
        <v>-0.26300000000000001</v>
      </c>
      <c r="K29" s="7">
        <v>73</v>
      </c>
      <c r="L29" s="7">
        <v>11</v>
      </c>
      <c r="M29" s="7">
        <v>8883</v>
      </c>
      <c r="N29" s="7">
        <v>8631</v>
      </c>
      <c r="O29" s="6">
        <v>2.9000000000000001E-2</v>
      </c>
      <c r="P29" s="7">
        <v>7830</v>
      </c>
      <c r="Q29" s="7">
        <v>6682</v>
      </c>
      <c r="R29" s="6">
        <v>0.17199999999999999</v>
      </c>
      <c r="S29" s="7">
        <v>559.29999999999995</v>
      </c>
      <c r="T29" s="6">
        <v>0.50700000000000001</v>
      </c>
      <c r="U29" s="7">
        <v>11538</v>
      </c>
      <c r="V29" s="6">
        <v>-0.23400000000000001</v>
      </c>
      <c r="W29" s="6">
        <v>0</v>
      </c>
      <c r="X29" s="6">
        <v>0.67700000000000005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5"/>
      <c r="AF29" s="5"/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7">
        <v>0</v>
      </c>
    </row>
    <row r="30" spans="1:38" x14ac:dyDescent="0.25">
      <c r="A30" s="12" t="s">
        <v>61</v>
      </c>
      <c r="B30" s="12" t="s">
        <v>64</v>
      </c>
      <c r="C30" s="2" t="s">
        <v>65</v>
      </c>
      <c r="D30" s="2" t="s">
        <v>65</v>
      </c>
      <c r="E30" s="3">
        <v>0.89100000000000001</v>
      </c>
      <c r="F30" s="3">
        <v>0.125</v>
      </c>
      <c r="G30" s="3">
        <v>4.2999999999999997E-2</v>
      </c>
      <c r="H30" s="3">
        <v>4.2999999999999997E-2</v>
      </c>
      <c r="I30" s="4">
        <v>2</v>
      </c>
      <c r="J30" s="3">
        <v>-0.33300000000000002</v>
      </c>
      <c r="K30" s="4">
        <v>44</v>
      </c>
      <c r="L30" s="4">
        <v>-4</v>
      </c>
      <c r="M30" s="4">
        <v>22298</v>
      </c>
      <c r="N30" s="4">
        <v>23856</v>
      </c>
      <c r="O30" s="3">
        <v>-6.5000000000000002E-2</v>
      </c>
      <c r="P30" s="4">
        <v>1038</v>
      </c>
      <c r="Q30" s="4">
        <v>2177</v>
      </c>
      <c r="R30" s="3">
        <v>-0.52300000000000002</v>
      </c>
      <c r="S30" s="4">
        <v>518.79999999999995</v>
      </c>
      <c r="T30" s="3">
        <v>-0.28499999999999998</v>
      </c>
      <c r="U30" s="4">
        <v>20626</v>
      </c>
      <c r="V30" s="3">
        <v>-9.7000000000000003E-2</v>
      </c>
      <c r="W30" s="3">
        <v>1.7999999999999999E-2</v>
      </c>
      <c r="X30" s="3">
        <v>1.6579999999999999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8"/>
      <c r="AF30" s="8"/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4">
        <v>0</v>
      </c>
    </row>
    <row r="31" spans="1:38" x14ac:dyDescent="0.25">
      <c r="A31" s="12" t="s">
        <v>61</v>
      </c>
      <c r="B31" s="12" t="s">
        <v>64</v>
      </c>
      <c r="C31" s="5" t="s">
        <v>42</v>
      </c>
      <c r="D31" s="5"/>
      <c r="E31" s="6">
        <v>0.89100000000000001</v>
      </c>
      <c r="F31" s="6">
        <v>0.125</v>
      </c>
      <c r="G31" s="6">
        <v>4.2999999999999997E-2</v>
      </c>
      <c r="H31" s="6">
        <v>4.2999999999999997E-2</v>
      </c>
      <c r="I31" s="7">
        <v>2</v>
      </c>
      <c r="J31" s="6">
        <v>-0.33300000000000002</v>
      </c>
      <c r="K31" s="7">
        <v>44</v>
      </c>
      <c r="L31" s="7">
        <v>-4</v>
      </c>
      <c r="M31" s="7">
        <v>22298</v>
      </c>
      <c r="N31" s="7">
        <v>23856</v>
      </c>
      <c r="O31" s="6">
        <v>-6.5000000000000002E-2</v>
      </c>
      <c r="P31" s="7">
        <v>1038</v>
      </c>
      <c r="Q31" s="7">
        <v>2177</v>
      </c>
      <c r="R31" s="6">
        <v>-0.52300000000000002</v>
      </c>
      <c r="S31" s="7">
        <v>518.79999999999995</v>
      </c>
      <c r="T31" s="6">
        <v>-0.28499999999999998</v>
      </c>
      <c r="U31" s="7">
        <v>20626</v>
      </c>
      <c r="V31" s="6">
        <v>-9.7000000000000003E-2</v>
      </c>
      <c r="W31" s="6">
        <v>1.7999999999999999E-2</v>
      </c>
      <c r="X31" s="6">
        <v>1.6579999999999999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5"/>
      <c r="AF31" s="5"/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7">
        <v>0</v>
      </c>
    </row>
    <row r="32" spans="1:38" x14ac:dyDescent="0.25">
      <c r="A32" s="12" t="s">
        <v>61</v>
      </c>
      <c r="B32" s="12" t="s">
        <v>66</v>
      </c>
      <c r="C32" s="2" t="s">
        <v>55</v>
      </c>
      <c r="D32" s="2" t="s">
        <v>67</v>
      </c>
      <c r="E32" s="3">
        <v>0.95899999999999996</v>
      </c>
      <c r="F32" s="3">
        <v>2.1000000000000001E-2</v>
      </c>
      <c r="G32" s="3">
        <v>0.06</v>
      </c>
      <c r="H32" s="3">
        <v>0.06</v>
      </c>
      <c r="I32" s="4">
        <v>2</v>
      </c>
      <c r="J32" s="3">
        <v>-0.6</v>
      </c>
      <c r="K32" s="4">
        <v>49</v>
      </c>
      <c r="L32" s="4">
        <v>1</v>
      </c>
      <c r="M32" s="4">
        <v>34155</v>
      </c>
      <c r="N32" s="4">
        <v>33539</v>
      </c>
      <c r="O32" s="3">
        <v>1.7999999999999999E-2</v>
      </c>
      <c r="P32" s="4">
        <v>1998</v>
      </c>
      <c r="Q32" s="4">
        <v>2123</v>
      </c>
      <c r="R32" s="3">
        <v>-5.8999999999999997E-2</v>
      </c>
      <c r="S32" s="4">
        <v>999.12</v>
      </c>
      <c r="T32" s="3">
        <v>0.88700000000000001</v>
      </c>
      <c r="U32" s="4">
        <v>24073</v>
      </c>
      <c r="V32" s="3">
        <v>-0.02</v>
      </c>
      <c r="W32" s="3">
        <v>2.7E-2</v>
      </c>
      <c r="X32" s="3">
        <v>6.2E-2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8"/>
      <c r="AF32" s="8"/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4">
        <v>0</v>
      </c>
    </row>
    <row r="33" spans="1:38" x14ac:dyDescent="0.25">
      <c r="A33" s="12" t="s">
        <v>61</v>
      </c>
      <c r="B33" s="12" t="s">
        <v>66</v>
      </c>
      <c r="C33" s="5" t="s">
        <v>42</v>
      </c>
      <c r="D33" s="5"/>
      <c r="E33" s="6">
        <v>0.95899999999999996</v>
      </c>
      <c r="F33" s="6">
        <v>2.1000000000000001E-2</v>
      </c>
      <c r="G33" s="6">
        <v>0.06</v>
      </c>
      <c r="H33" s="6">
        <v>0.06</v>
      </c>
      <c r="I33" s="7">
        <v>2</v>
      </c>
      <c r="J33" s="6">
        <v>-0.6</v>
      </c>
      <c r="K33" s="7">
        <v>49</v>
      </c>
      <c r="L33" s="7">
        <v>1</v>
      </c>
      <c r="M33" s="7">
        <v>34155</v>
      </c>
      <c r="N33" s="7">
        <v>33539</v>
      </c>
      <c r="O33" s="6">
        <v>1.7999999999999999E-2</v>
      </c>
      <c r="P33" s="7">
        <v>1998</v>
      </c>
      <c r="Q33" s="7">
        <v>2123</v>
      </c>
      <c r="R33" s="6">
        <v>-5.8999999999999997E-2</v>
      </c>
      <c r="S33" s="7">
        <v>999.12</v>
      </c>
      <c r="T33" s="6">
        <v>0.88700000000000001</v>
      </c>
      <c r="U33" s="7">
        <v>24073</v>
      </c>
      <c r="V33" s="6">
        <v>-0.02</v>
      </c>
      <c r="W33" s="6">
        <v>2.7E-2</v>
      </c>
      <c r="X33" s="6">
        <v>6.2E-2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5"/>
      <c r="AF33" s="5"/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7">
        <v>0</v>
      </c>
    </row>
    <row r="34" spans="1:38" x14ac:dyDescent="0.25">
      <c r="A34" s="12" t="s">
        <v>61</v>
      </c>
      <c r="B34" s="12" t="s">
        <v>68</v>
      </c>
      <c r="C34" s="2" t="s">
        <v>69</v>
      </c>
      <c r="D34" s="2" t="s">
        <v>70</v>
      </c>
      <c r="E34" s="3">
        <v>0.98799999999999999</v>
      </c>
      <c r="F34" s="3">
        <v>0</v>
      </c>
      <c r="G34" s="3">
        <v>0</v>
      </c>
      <c r="H34" s="3">
        <v>0</v>
      </c>
      <c r="I34" s="4">
        <v>0</v>
      </c>
      <c r="J34" s="3">
        <v>-1</v>
      </c>
      <c r="K34" s="4">
        <v>14</v>
      </c>
      <c r="L34" s="4">
        <v>0</v>
      </c>
      <c r="M34" s="4">
        <v>5471</v>
      </c>
      <c r="N34" s="4">
        <v>5538</v>
      </c>
      <c r="O34" s="3">
        <v>-1.2E-2</v>
      </c>
      <c r="P34" s="4">
        <v>0</v>
      </c>
      <c r="Q34" s="4">
        <v>350</v>
      </c>
      <c r="R34" s="3">
        <v>-1</v>
      </c>
      <c r="S34" s="8"/>
      <c r="T34" s="8"/>
      <c r="U34" s="4">
        <v>2754</v>
      </c>
      <c r="V34" s="3">
        <v>2E-3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8"/>
      <c r="AF34" s="8"/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4">
        <v>0</v>
      </c>
    </row>
    <row r="35" spans="1:38" x14ac:dyDescent="0.25">
      <c r="A35" s="12" t="s">
        <v>61</v>
      </c>
      <c r="B35" s="12" t="s">
        <v>68</v>
      </c>
      <c r="C35" s="5" t="s">
        <v>42</v>
      </c>
      <c r="D35" s="5"/>
      <c r="E35" s="6">
        <v>0.98799999999999999</v>
      </c>
      <c r="F35" s="6">
        <v>0</v>
      </c>
      <c r="G35" s="6">
        <v>0</v>
      </c>
      <c r="H35" s="6">
        <v>0</v>
      </c>
      <c r="I35" s="7">
        <v>0</v>
      </c>
      <c r="J35" s="6">
        <v>-1</v>
      </c>
      <c r="K35" s="7">
        <v>14</v>
      </c>
      <c r="L35" s="7">
        <v>0</v>
      </c>
      <c r="M35" s="7">
        <v>5471</v>
      </c>
      <c r="N35" s="7">
        <v>5538</v>
      </c>
      <c r="O35" s="6">
        <v>-1.2E-2</v>
      </c>
      <c r="P35" s="7">
        <v>0</v>
      </c>
      <c r="Q35" s="7">
        <v>350</v>
      </c>
      <c r="R35" s="6">
        <v>-1</v>
      </c>
      <c r="S35" s="5"/>
      <c r="T35" s="5"/>
      <c r="U35" s="7">
        <v>2754</v>
      </c>
      <c r="V35" s="6">
        <v>2E-3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5"/>
      <c r="AF35" s="5"/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7">
        <v>0</v>
      </c>
    </row>
    <row r="36" spans="1:38" x14ac:dyDescent="0.25">
      <c r="A36" s="12" t="s">
        <v>61</v>
      </c>
      <c r="B36" s="12" t="s">
        <v>46</v>
      </c>
      <c r="C36" s="2" t="s">
        <v>71</v>
      </c>
      <c r="D36" s="2" t="s">
        <v>71</v>
      </c>
      <c r="E36" s="3">
        <v>1.085</v>
      </c>
      <c r="F36" s="3">
        <v>4.4999999999999998E-2</v>
      </c>
      <c r="G36" s="3">
        <v>1.7000000000000001E-2</v>
      </c>
      <c r="H36" s="3">
        <v>0</v>
      </c>
      <c r="I36" s="4">
        <v>1</v>
      </c>
      <c r="J36" s="3">
        <v>-0.83299999999999996</v>
      </c>
      <c r="K36" s="4">
        <v>64</v>
      </c>
      <c r="L36" s="4">
        <v>-2</v>
      </c>
      <c r="M36" s="4">
        <v>17663</v>
      </c>
      <c r="N36" s="4">
        <v>16025</v>
      </c>
      <c r="O36" s="3">
        <v>0.10199999999999999</v>
      </c>
      <c r="P36" s="4">
        <v>271</v>
      </c>
      <c r="Q36" s="4">
        <v>3048</v>
      </c>
      <c r="R36" s="3">
        <v>-0.91100000000000003</v>
      </c>
      <c r="S36" s="4">
        <v>270.68</v>
      </c>
      <c r="T36" s="3">
        <v>-0.46700000000000003</v>
      </c>
      <c r="U36" s="4">
        <v>14379</v>
      </c>
      <c r="V36" s="3">
        <v>6.9000000000000006E-2</v>
      </c>
      <c r="W36" s="3">
        <v>0</v>
      </c>
      <c r="X36" s="3">
        <v>1.7689999999999999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8"/>
      <c r="AF36" s="8"/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4">
        <v>0</v>
      </c>
    </row>
    <row r="37" spans="1:38" x14ac:dyDescent="0.25">
      <c r="A37" s="12" t="s">
        <v>61</v>
      </c>
      <c r="B37" s="12" t="s">
        <v>46</v>
      </c>
      <c r="C37" s="2" t="s">
        <v>72</v>
      </c>
      <c r="D37" s="2" t="s">
        <v>72</v>
      </c>
      <c r="E37" s="3">
        <v>0.68700000000000006</v>
      </c>
      <c r="F37" s="3">
        <v>9.7000000000000003E-2</v>
      </c>
      <c r="G37" s="3">
        <v>0.20899999999999999</v>
      </c>
      <c r="H37" s="3">
        <v>0.185</v>
      </c>
      <c r="I37" s="4">
        <v>3</v>
      </c>
      <c r="J37" s="3">
        <v>2</v>
      </c>
      <c r="K37" s="4">
        <v>31</v>
      </c>
      <c r="L37" s="4">
        <v>0</v>
      </c>
      <c r="M37" s="4">
        <v>3918</v>
      </c>
      <c r="N37" s="4">
        <v>4376</v>
      </c>
      <c r="O37" s="3">
        <v>-0.104</v>
      </c>
      <c r="P37" s="4">
        <v>914</v>
      </c>
      <c r="Q37" s="4">
        <v>186</v>
      </c>
      <c r="R37" s="3">
        <v>3.9020000000000001</v>
      </c>
      <c r="S37" s="4">
        <v>304.56</v>
      </c>
      <c r="T37" s="3">
        <v>0.63400000000000001</v>
      </c>
      <c r="U37" s="4">
        <v>3216</v>
      </c>
      <c r="V37" s="3">
        <v>9.1999999999999998E-2</v>
      </c>
      <c r="W37" s="3">
        <v>0</v>
      </c>
      <c r="X37" s="3">
        <v>1.1359999999999999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8"/>
      <c r="AF37" s="8"/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4">
        <v>0</v>
      </c>
    </row>
    <row r="38" spans="1:38" x14ac:dyDescent="0.25">
      <c r="A38" s="12" t="s">
        <v>61</v>
      </c>
      <c r="B38" s="12" t="s">
        <v>46</v>
      </c>
      <c r="C38" s="5" t="s">
        <v>42</v>
      </c>
      <c r="D38" s="5"/>
      <c r="E38" s="6">
        <v>1</v>
      </c>
      <c r="F38" s="6">
        <v>6.2E-2</v>
      </c>
      <c r="G38" s="6">
        <v>5.8000000000000003E-2</v>
      </c>
      <c r="H38" s="6">
        <v>0.04</v>
      </c>
      <c r="I38" s="7">
        <v>4</v>
      </c>
      <c r="J38" s="6">
        <v>-0.42899999999999999</v>
      </c>
      <c r="K38" s="7">
        <v>95</v>
      </c>
      <c r="L38" s="7">
        <v>-2</v>
      </c>
      <c r="M38" s="7">
        <v>21582</v>
      </c>
      <c r="N38" s="7">
        <v>20400</v>
      </c>
      <c r="O38" s="6">
        <v>5.8000000000000003E-2</v>
      </c>
      <c r="P38" s="7">
        <v>1184</v>
      </c>
      <c r="Q38" s="7">
        <v>3235</v>
      </c>
      <c r="R38" s="6">
        <v>-0.63400000000000001</v>
      </c>
      <c r="S38" s="7">
        <v>296.08999999999997</v>
      </c>
      <c r="T38" s="6">
        <v>-0.35899999999999999</v>
      </c>
      <c r="U38" s="7">
        <v>17595</v>
      </c>
      <c r="V38" s="6">
        <v>7.2999999999999995E-2</v>
      </c>
      <c r="W38" s="6">
        <v>0</v>
      </c>
      <c r="X38" s="6">
        <v>1.6539999999999999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5"/>
      <c r="AF38" s="5"/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7">
        <v>0</v>
      </c>
    </row>
    <row r="39" spans="1:38" ht="33.75" x14ac:dyDescent="0.25">
      <c r="A39" s="12" t="s">
        <v>61</v>
      </c>
      <c r="B39" s="12" t="s">
        <v>73</v>
      </c>
      <c r="C39" s="2" t="s">
        <v>73</v>
      </c>
      <c r="D39" s="2" t="s">
        <v>74</v>
      </c>
      <c r="E39" s="3">
        <v>0.245</v>
      </c>
      <c r="F39" s="3">
        <v>0</v>
      </c>
      <c r="G39" s="3">
        <v>0.12</v>
      </c>
      <c r="H39" s="3">
        <v>0</v>
      </c>
      <c r="I39" s="4">
        <v>1</v>
      </c>
      <c r="J39" s="3">
        <v>-0.5</v>
      </c>
      <c r="K39" s="4">
        <v>10</v>
      </c>
      <c r="L39" s="4">
        <v>1</v>
      </c>
      <c r="M39" s="4">
        <v>1097</v>
      </c>
      <c r="N39" s="4">
        <v>3001</v>
      </c>
      <c r="O39" s="3">
        <v>-0.63400000000000001</v>
      </c>
      <c r="P39" s="4">
        <v>361</v>
      </c>
      <c r="Q39" s="4">
        <v>403</v>
      </c>
      <c r="R39" s="3">
        <v>-0.105</v>
      </c>
      <c r="S39" s="4">
        <v>361.2</v>
      </c>
      <c r="T39" s="3">
        <v>-5.8000000000000003E-2</v>
      </c>
      <c r="U39" s="4">
        <v>2129</v>
      </c>
      <c r="V39" s="3">
        <v>-0.29399999999999998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8"/>
      <c r="AF39" s="8"/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4">
        <v>0</v>
      </c>
    </row>
    <row r="40" spans="1:38" x14ac:dyDescent="0.25">
      <c r="A40" s="12" t="s">
        <v>61</v>
      </c>
      <c r="B40" s="12" t="s">
        <v>73</v>
      </c>
      <c r="C40" s="5" t="s">
        <v>42</v>
      </c>
      <c r="D40" s="5"/>
      <c r="E40" s="6">
        <v>0.245</v>
      </c>
      <c r="F40" s="6">
        <v>0</v>
      </c>
      <c r="G40" s="6">
        <v>0.12</v>
      </c>
      <c r="H40" s="6">
        <v>0</v>
      </c>
      <c r="I40" s="7">
        <v>1</v>
      </c>
      <c r="J40" s="6">
        <v>-0.5</v>
      </c>
      <c r="K40" s="7">
        <v>10</v>
      </c>
      <c r="L40" s="7">
        <v>1</v>
      </c>
      <c r="M40" s="7">
        <v>1097</v>
      </c>
      <c r="N40" s="7">
        <v>3001</v>
      </c>
      <c r="O40" s="6">
        <v>-0.63400000000000001</v>
      </c>
      <c r="P40" s="7">
        <v>361</v>
      </c>
      <c r="Q40" s="7">
        <v>403</v>
      </c>
      <c r="R40" s="6">
        <v>-0.105</v>
      </c>
      <c r="S40" s="7">
        <v>361.2</v>
      </c>
      <c r="T40" s="6">
        <v>-5.8000000000000003E-2</v>
      </c>
      <c r="U40" s="7">
        <v>2129</v>
      </c>
      <c r="V40" s="6">
        <v>-0.29399999999999998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5"/>
      <c r="AF40" s="5"/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7">
        <v>0</v>
      </c>
    </row>
    <row r="41" spans="1:38" x14ac:dyDescent="0.25">
      <c r="A41" s="12" t="s">
        <v>61</v>
      </c>
      <c r="B41" s="5" t="s">
        <v>42</v>
      </c>
      <c r="C41" s="5"/>
      <c r="D41" s="5"/>
      <c r="E41" s="6">
        <v>0.85599999999999998</v>
      </c>
      <c r="F41" s="6">
        <v>6.3E-2</v>
      </c>
      <c r="G41" s="6">
        <v>0.13300000000000001</v>
      </c>
      <c r="H41" s="6">
        <v>0.122</v>
      </c>
      <c r="I41" s="7">
        <v>28</v>
      </c>
      <c r="J41" s="6">
        <v>-0.34899999999999998</v>
      </c>
      <c r="K41" s="7">
        <v>370</v>
      </c>
      <c r="L41" s="7">
        <v>5</v>
      </c>
      <c r="M41" s="7">
        <v>97471</v>
      </c>
      <c r="N41" s="7">
        <v>98575</v>
      </c>
      <c r="O41" s="6">
        <v>-1.0999999999999999E-2</v>
      </c>
      <c r="P41" s="7">
        <v>13072</v>
      </c>
      <c r="Q41" s="7">
        <v>15734</v>
      </c>
      <c r="R41" s="6">
        <v>-0.16900000000000001</v>
      </c>
      <c r="S41" s="7">
        <v>501.44</v>
      </c>
      <c r="T41" s="6">
        <v>0.251</v>
      </c>
      <c r="U41" s="7">
        <v>82584</v>
      </c>
      <c r="V41" s="6">
        <v>-7.0000000000000007E-2</v>
      </c>
      <c r="W41" s="6">
        <v>1.2E-2</v>
      </c>
      <c r="X41" s="6">
        <v>0.879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5"/>
      <c r="AF41" s="5"/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7">
        <v>0</v>
      </c>
    </row>
    <row r="42" spans="1:38" x14ac:dyDescent="0.25">
      <c r="A42" s="2" t="s">
        <v>75</v>
      </c>
      <c r="B42" s="2" t="s">
        <v>75</v>
      </c>
      <c r="C42" s="2" t="s">
        <v>75</v>
      </c>
      <c r="D42" s="2" t="s">
        <v>75</v>
      </c>
      <c r="E42" s="6">
        <v>0.92900000000000005</v>
      </c>
      <c r="F42" s="6">
        <v>5.3999999999999999E-2</v>
      </c>
      <c r="G42" s="6">
        <v>0.122</v>
      </c>
      <c r="H42" s="6">
        <v>9.0999999999999998E-2</v>
      </c>
      <c r="I42" s="7">
        <v>295</v>
      </c>
      <c r="J42" s="6">
        <v>0.17499999999999999</v>
      </c>
      <c r="K42" s="7">
        <v>4054</v>
      </c>
      <c r="L42" s="7">
        <v>79</v>
      </c>
      <c r="M42" s="7">
        <v>657986</v>
      </c>
      <c r="N42" s="7">
        <v>626126</v>
      </c>
      <c r="O42" s="6">
        <v>5.0999999999999997E-2</v>
      </c>
      <c r="P42" s="7">
        <v>76570</v>
      </c>
      <c r="Q42" s="7">
        <v>78176</v>
      </c>
      <c r="R42" s="6">
        <v>-2.1000000000000001E-2</v>
      </c>
      <c r="S42" s="7">
        <v>268.33</v>
      </c>
      <c r="T42" s="6">
        <v>-0.19800000000000001</v>
      </c>
      <c r="U42" s="7">
        <v>555697</v>
      </c>
      <c r="V42" s="6">
        <v>1.4E-2</v>
      </c>
      <c r="W42" s="6">
        <v>7.0000000000000001E-3</v>
      </c>
      <c r="X42" s="6">
        <v>0.745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5"/>
      <c r="AF42" s="5"/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7">
        <v>0</v>
      </c>
    </row>
    <row r="44" spans="1:38" x14ac:dyDescent="0.25">
      <c r="A44" t="s">
        <v>76</v>
      </c>
      <c r="B44" t="s">
        <v>76</v>
      </c>
      <c r="C44" t="s">
        <v>76</v>
      </c>
    </row>
    <row r="45" spans="1:38" x14ac:dyDescent="0.25">
      <c r="A45" s="9" t="s">
        <v>99</v>
      </c>
      <c r="B45" s="9" t="s">
        <v>98</v>
      </c>
    </row>
  </sheetData>
  <mergeCells count="18">
    <mergeCell ref="B28:B29"/>
    <mergeCell ref="B30:B31"/>
    <mergeCell ref="B32:B33"/>
    <mergeCell ref="B39:B40"/>
    <mergeCell ref="C19:C20"/>
    <mergeCell ref="A4:AL4"/>
    <mergeCell ref="A5:AL5"/>
    <mergeCell ref="A7:A25"/>
    <mergeCell ref="A26:A41"/>
    <mergeCell ref="B7:B9"/>
    <mergeCell ref="B10:B11"/>
    <mergeCell ref="B12:B13"/>
    <mergeCell ref="B14:B15"/>
    <mergeCell ref="B34:B35"/>
    <mergeCell ref="B36:B38"/>
    <mergeCell ref="B16:B22"/>
    <mergeCell ref="B23:B24"/>
    <mergeCell ref="B26:B27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B857-BB31-4C17-9724-E6643C39AEA7}">
  <dimension ref="A4:AM46"/>
  <sheetViews>
    <sheetView topLeftCell="D27" workbookViewId="0">
      <selection activeCell="Q44" sqref="Q44"/>
    </sheetView>
  </sheetViews>
  <sheetFormatPr baseColWidth="10" defaultRowHeight="15" x14ac:dyDescent="0.25"/>
  <sheetData>
    <row r="4" spans="1:39" ht="20.25" x14ac:dyDescent="0.25">
      <c r="A4" s="10" t="s">
        <v>105</v>
      </c>
      <c r="B4" s="10" t="s">
        <v>105</v>
      </c>
      <c r="C4" s="10" t="s">
        <v>105</v>
      </c>
      <c r="D4" s="10" t="s">
        <v>105</v>
      </c>
      <c r="E4" s="10" t="s">
        <v>105</v>
      </c>
      <c r="F4" s="10" t="s">
        <v>105</v>
      </c>
      <c r="G4" s="10" t="s">
        <v>105</v>
      </c>
      <c r="H4" s="10" t="s">
        <v>105</v>
      </c>
      <c r="I4" s="10" t="s">
        <v>105</v>
      </c>
      <c r="J4" s="10" t="s">
        <v>105</v>
      </c>
      <c r="K4" s="10" t="s">
        <v>105</v>
      </c>
      <c r="L4" s="10" t="s">
        <v>105</v>
      </c>
      <c r="M4" s="10" t="s">
        <v>105</v>
      </c>
      <c r="N4" s="10" t="s">
        <v>105</v>
      </c>
      <c r="O4" s="10"/>
      <c r="P4" s="10" t="s">
        <v>105</v>
      </c>
      <c r="Q4" s="10" t="s">
        <v>105</v>
      </c>
      <c r="R4" s="10" t="s">
        <v>105</v>
      </c>
      <c r="S4" s="10" t="s">
        <v>105</v>
      </c>
      <c r="T4" s="10" t="s">
        <v>105</v>
      </c>
      <c r="U4" s="10" t="s">
        <v>105</v>
      </c>
      <c r="V4" s="10" t="s">
        <v>105</v>
      </c>
      <c r="W4" s="10" t="s">
        <v>105</v>
      </c>
      <c r="X4" s="10" t="s">
        <v>105</v>
      </c>
      <c r="Y4" s="10" t="s">
        <v>105</v>
      </c>
      <c r="Z4" s="10" t="s">
        <v>105</v>
      </c>
      <c r="AA4" s="10" t="s">
        <v>105</v>
      </c>
      <c r="AB4" s="10" t="s">
        <v>105</v>
      </c>
      <c r="AC4" s="10" t="s">
        <v>105</v>
      </c>
      <c r="AD4" s="10" t="s">
        <v>105</v>
      </c>
      <c r="AE4" s="10" t="s">
        <v>105</v>
      </c>
      <c r="AF4" s="10" t="s">
        <v>105</v>
      </c>
      <c r="AG4" s="10" t="s">
        <v>105</v>
      </c>
      <c r="AH4" s="10" t="s">
        <v>105</v>
      </c>
      <c r="AI4" s="10" t="s">
        <v>105</v>
      </c>
      <c r="AJ4" s="10" t="s">
        <v>105</v>
      </c>
      <c r="AK4" s="10" t="s">
        <v>105</v>
      </c>
      <c r="AL4" s="10" t="s">
        <v>105</v>
      </c>
      <c r="AM4" s="10" t="s">
        <v>105</v>
      </c>
    </row>
    <row r="5" spans="1:39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/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  <c r="AM5" s="11" t="s">
        <v>1</v>
      </c>
    </row>
    <row r="6" spans="1:39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92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27</v>
      </c>
      <c r="AF6" s="1" t="s">
        <v>30</v>
      </c>
      <c r="AG6" s="1" t="s">
        <v>31</v>
      </c>
      <c r="AH6" s="1" t="s">
        <v>27</v>
      </c>
      <c r="AI6" s="1" t="s">
        <v>32</v>
      </c>
      <c r="AJ6" s="1" t="s">
        <v>33</v>
      </c>
      <c r="AK6" s="1" t="s">
        <v>34</v>
      </c>
      <c r="AL6" s="1" t="s">
        <v>35</v>
      </c>
      <c r="AM6" s="1" t="s">
        <v>36</v>
      </c>
    </row>
    <row r="7" spans="1:39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0.99399999999999999</v>
      </c>
      <c r="F7" s="3">
        <v>3.6999999999999998E-2</v>
      </c>
      <c r="G7" s="3">
        <v>0.11600000000000001</v>
      </c>
      <c r="H7" s="3">
        <v>0.10100000000000001</v>
      </c>
      <c r="I7" s="4">
        <v>4</v>
      </c>
      <c r="J7" s="8"/>
      <c r="K7" s="4">
        <v>30</v>
      </c>
      <c r="L7" s="4">
        <v>3</v>
      </c>
      <c r="M7" s="4">
        <v>4920</v>
      </c>
      <c r="N7" s="4">
        <v>4433</v>
      </c>
      <c r="O7" s="4">
        <f>M7-N7</f>
        <v>487</v>
      </c>
      <c r="P7" s="3">
        <v>0.11</v>
      </c>
      <c r="Q7" s="4">
        <v>515</v>
      </c>
      <c r="R7" s="4">
        <v>0</v>
      </c>
      <c r="S7" s="8"/>
      <c r="T7" s="4">
        <v>128.66</v>
      </c>
      <c r="U7" s="8"/>
      <c r="V7" s="4">
        <v>3372</v>
      </c>
      <c r="W7" s="3">
        <v>1E-3</v>
      </c>
      <c r="X7" s="3">
        <v>1.6E-2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8"/>
      <c r="AG7" s="8"/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4">
        <v>0</v>
      </c>
    </row>
    <row r="8" spans="1:39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1.0109999999999999</v>
      </c>
      <c r="F8" s="3">
        <v>0.02</v>
      </c>
      <c r="G8" s="3">
        <v>0</v>
      </c>
      <c r="H8" s="3">
        <v>0</v>
      </c>
      <c r="I8" s="4">
        <v>0</v>
      </c>
      <c r="J8" s="3">
        <v>-1</v>
      </c>
      <c r="K8" s="4">
        <v>48</v>
      </c>
      <c r="L8" s="4">
        <v>-1</v>
      </c>
      <c r="M8" s="4">
        <v>5026</v>
      </c>
      <c r="N8" s="4">
        <v>4970</v>
      </c>
      <c r="O8" s="4">
        <f t="shared" ref="O8:O43" si="0">M8-N8</f>
        <v>56</v>
      </c>
      <c r="P8" s="3">
        <v>1.0999999999999999E-2</v>
      </c>
      <c r="Q8" s="4">
        <v>0</v>
      </c>
      <c r="R8" s="4">
        <v>333</v>
      </c>
      <c r="S8" s="3">
        <v>-1</v>
      </c>
      <c r="T8" s="8"/>
      <c r="U8" s="8"/>
      <c r="V8" s="4">
        <v>4276</v>
      </c>
      <c r="W8" s="3">
        <v>9.8000000000000004E-2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8"/>
      <c r="AG8" s="8"/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4">
        <v>0</v>
      </c>
    </row>
    <row r="9" spans="1:39" x14ac:dyDescent="0.25">
      <c r="A9" s="12" t="s">
        <v>37</v>
      </c>
      <c r="B9" s="12" t="s">
        <v>38</v>
      </c>
      <c r="C9" s="5" t="s">
        <v>42</v>
      </c>
      <c r="D9" s="5"/>
      <c r="E9" s="6">
        <v>1.0029999999999999</v>
      </c>
      <c r="F9" s="6">
        <v>2.5999999999999999E-2</v>
      </c>
      <c r="G9" s="6">
        <v>5.5E-2</v>
      </c>
      <c r="H9" s="6">
        <v>4.8000000000000001E-2</v>
      </c>
      <c r="I9" s="7">
        <v>4</v>
      </c>
      <c r="J9" s="6">
        <v>1</v>
      </c>
      <c r="K9" s="7">
        <v>78</v>
      </c>
      <c r="L9" s="7">
        <v>2</v>
      </c>
      <c r="M9" s="7">
        <v>9946</v>
      </c>
      <c r="N9" s="7">
        <v>9402</v>
      </c>
      <c r="O9" s="4">
        <f t="shared" si="0"/>
        <v>544</v>
      </c>
      <c r="P9" s="6">
        <v>5.8000000000000003E-2</v>
      </c>
      <c r="Q9" s="7">
        <v>515</v>
      </c>
      <c r="R9" s="7">
        <v>333</v>
      </c>
      <c r="S9" s="6">
        <v>0.54700000000000004</v>
      </c>
      <c r="T9" s="7">
        <v>128.66</v>
      </c>
      <c r="U9" s="6">
        <v>-0.22600000000000001</v>
      </c>
      <c r="V9" s="7">
        <v>7648</v>
      </c>
      <c r="W9" s="6">
        <v>5.2999999999999999E-2</v>
      </c>
      <c r="X9" s="6">
        <v>7.0000000000000001E-3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5"/>
      <c r="AG9" s="5"/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7">
        <v>0</v>
      </c>
    </row>
    <row r="10" spans="1:39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0.92</v>
      </c>
      <c r="F10" s="3">
        <v>7.1999999999999995E-2</v>
      </c>
      <c r="G10" s="3">
        <v>0.121</v>
      </c>
      <c r="H10" s="3">
        <v>8.6999999999999994E-2</v>
      </c>
      <c r="I10" s="4">
        <v>250</v>
      </c>
      <c r="J10" s="3">
        <v>0.38900000000000001</v>
      </c>
      <c r="K10" s="4">
        <v>2705</v>
      </c>
      <c r="L10" s="4">
        <v>60</v>
      </c>
      <c r="M10" s="4">
        <v>539709</v>
      </c>
      <c r="N10" s="4">
        <v>518620</v>
      </c>
      <c r="O10" s="4">
        <f t="shared" si="0"/>
        <v>21089</v>
      </c>
      <c r="P10" s="3">
        <v>4.1000000000000002E-2</v>
      </c>
      <c r="Q10" s="4">
        <v>62582</v>
      </c>
      <c r="R10" s="4">
        <v>60166</v>
      </c>
      <c r="S10" s="3">
        <v>0.04</v>
      </c>
      <c r="T10" s="4">
        <v>256</v>
      </c>
      <c r="U10" s="3">
        <v>-0.27400000000000002</v>
      </c>
      <c r="V10" s="4">
        <v>464369</v>
      </c>
      <c r="W10" s="3">
        <v>1.9E-2</v>
      </c>
      <c r="X10" s="3">
        <v>8.0000000000000002E-3</v>
      </c>
      <c r="Y10" s="3">
        <v>0.81100000000000005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8"/>
      <c r="AG10" s="8"/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4">
        <v>0</v>
      </c>
    </row>
    <row r="11" spans="1:39" x14ac:dyDescent="0.25">
      <c r="A11" s="12" t="s">
        <v>37</v>
      </c>
      <c r="B11" s="12" t="s">
        <v>43</v>
      </c>
      <c r="C11" s="5" t="s">
        <v>42</v>
      </c>
      <c r="D11" s="5"/>
      <c r="E11" s="6">
        <v>0.92</v>
      </c>
      <c r="F11" s="6">
        <v>7.1999999999999995E-2</v>
      </c>
      <c r="G11" s="6">
        <v>0.121</v>
      </c>
      <c r="H11" s="6">
        <v>8.6999999999999994E-2</v>
      </c>
      <c r="I11" s="7">
        <v>250</v>
      </c>
      <c r="J11" s="6">
        <v>0.38900000000000001</v>
      </c>
      <c r="K11" s="7">
        <v>2705</v>
      </c>
      <c r="L11" s="7">
        <v>60</v>
      </c>
      <c r="M11" s="7">
        <v>539709</v>
      </c>
      <c r="N11" s="7">
        <v>518620</v>
      </c>
      <c r="O11" s="4">
        <f t="shared" si="0"/>
        <v>21089</v>
      </c>
      <c r="P11" s="6">
        <v>4.1000000000000002E-2</v>
      </c>
      <c r="Q11" s="7">
        <v>62582</v>
      </c>
      <c r="R11" s="7">
        <v>60166</v>
      </c>
      <c r="S11" s="6">
        <v>0.04</v>
      </c>
      <c r="T11" s="7">
        <v>256</v>
      </c>
      <c r="U11" s="6">
        <v>-0.27400000000000002</v>
      </c>
      <c r="V11" s="7">
        <v>464369</v>
      </c>
      <c r="W11" s="6">
        <v>1.9E-2</v>
      </c>
      <c r="X11" s="6">
        <v>8.0000000000000002E-3</v>
      </c>
      <c r="Y11" s="6">
        <v>0.81100000000000005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5"/>
      <c r="AG11" s="5"/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7">
        <v>0</v>
      </c>
    </row>
    <row r="12" spans="1:39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0.92600000000000005</v>
      </c>
      <c r="F12" s="3">
        <v>5.1999999999999998E-2</v>
      </c>
      <c r="G12" s="3">
        <v>0.1</v>
      </c>
      <c r="H12" s="3">
        <v>5.3999999999999999E-2</v>
      </c>
      <c r="I12" s="4">
        <v>41</v>
      </c>
      <c r="J12" s="3">
        <v>-0.14599999999999999</v>
      </c>
      <c r="K12" s="4">
        <v>795</v>
      </c>
      <c r="L12" s="4">
        <v>0</v>
      </c>
      <c r="M12" s="4">
        <v>85996</v>
      </c>
      <c r="N12" s="4">
        <v>83825</v>
      </c>
      <c r="O12" s="4">
        <f t="shared" si="0"/>
        <v>2171</v>
      </c>
      <c r="P12" s="3">
        <v>2.5999999999999999E-2</v>
      </c>
      <c r="Q12" s="4">
        <v>8373</v>
      </c>
      <c r="R12" s="4">
        <v>8701</v>
      </c>
      <c r="S12" s="3">
        <v>-3.7999999999999999E-2</v>
      </c>
      <c r="T12" s="4">
        <v>204.22</v>
      </c>
      <c r="U12" s="3">
        <v>0.127</v>
      </c>
      <c r="V12" s="4">
        <v>83589</v>
      </c>
      <c r="W12" s="3">
        <v>4.2000000000000003E-2</v>
      </c>
      <c r="X12" s="3">
        <v>2E-3</v>
      </c>
      <c r="Y12" s="3">
        <v>0.48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8"/>
      <c r="AG12" s="8"/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4">
        <v>0</v>
      </c>
    </row>
    <row r="13" spans="1:39" x14ac:dyDescent="0.25">
      <c r="A13" s="12" t="s">
        <v>37</v>
      </c>
      <c r="B13" s="12" t="s">
        <v>45</v>
      </c>
      <c r="C13" s="5" t="s">
        <v>42</v>
      </c>
      <c r="D13" s="5"/>
      <c r="E13" s="6">
        <v>0.92600000000000005</v>
      </c>
      <c r="F13" s="6">
        <v>5.1999999999999998E-2</v>
      </c>
      <c r="G13" s="6">
        <v>0.1</v>
      </c>
      <c r="H13" s="6">
        <v>5.3999999999999999E-2</v>
      </c>
      <c r="I13" s="7">
        <v>41</v>
      </c>
      <c r="J13" s="6">
        <v>-0.14599999999999999</v>
      </c>
      <c r="K13" s="7">
        <v>795</v>
      </c>
      <c r="L13" s="7">
        <v>0</v>
      </c>
      <c r="M13" s="7">
        <v>85996</v>
      </c>
      <c r="N13" s="7">
        <v>83825</v>
      </c>
      <c r="O13" s="4">
        <f t="shared" si="0"/>
        <v>2171</v>
      </c>
      <c r="P13" s="6">
        <v>2.5999999999999999E-2</v>
      </c>
      <c r="Q13" s="7">
        <v>8373</v>
      </c>
      <c r="R13" s="7">
        <v>8701</v>
      </c>
      <c r="S13" s="6">
        <v>-3.7999999999999999E-2</v>
      </c>
      <c r="T13" s="7">
        <v>204.22</v>
      </c>
      <c r="U13" s="6">
        <v>0.127</v>
      </c>
      <c r="V13" s="7">
        <v>83589</v>
      </c>
      <c r="W13" s="6">
        <v>4.2000000000000003E-2</v>
      </c>
      <c r="X13" s="6">
        <v>2E-3</v>
      </c>
      <c r="Y13" s="6">
        <v>0.48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5"/>
      <c r="AG13" s="5"/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0</v>
      </c>
    </row>
    <row r="14" spans="1:39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1.002</v>
      </c>
      <c r="F14" s="3">
        <v>4.2000000000000003E-2</v>
      </c>
      <c r="G14" s="3">
        <v>0</v>
      </c>
      <c r="H14" s="3">
        <v>0</v>
      </c>
      <c r="I14" s="4">
        <v>0</v>
      </c>
      <c r="J14" s="3">
        <v>-1</v>
      </c>
      <c r="K14" s="4">
        <v>23</v>
      </c>
      <c r="L14" s="4">
        <v>-1</v>
      </c>
      <c r="M14" s="4">
        <v>8287</v>
      </c>
      <c r="N14" s="4">
        <v>8274</v>
      </c>
      <c r="O14" s="4">
        <f t="shared" si="0"/>
        <v>13</v>
      </c>
      <c r="P14" s="3">
        <v>2E-3</v>
      </c>
      <c r="Q14" s="4">
        <v>0</v>
      </c>
      <c r="R14" s="4">
        <v>997</v>
      </c>
      <c r="S14" s="3">
        <v>-1</v>
      </c>
      <c r="T14" s="8"/>
      <c r="U14" s="8"/>
      <c r="V14" s="4">
        <v>8620</v>
      </c>
      <c r="W14" s="3">
        <v>0.03</v>
      </c>
      <c r="X14" s="3">
        <v>0</v>
      </c>
      <c r="Y14" s="3">
        <v>1.41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8"/>
      <c r="AG14" s="8"/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4">
        <v>0</v>
      </c>
    </row>
    <row r="15" spans="1:39" x14ac:dyDescent="0.25">
      <c r="A15" s="12" t="s">
        <v>37</v>
      </c>
      <c r="B15" s="12" t="s">
        <v>46</v>
      </c>
      <c r="C15" s="5" t="s">
        <v>42</v>
      </c>
      <c r="D15" s="5"/>
      <c r="E15" s="6">
        <v>1.002</v>
      </c>
      <c r="F15" s="6">
        <v>4.2000000000000003E-2</v>
      </c>
      <c r="G15" s="6">
        <v>0</v>
      </c>
      <c r="H15" s="6">
        <v>0</v>
      </c>
      <c r="I15" s="7">
        <v>0</v>
      </c>
      <c r="J15" s="6">
        <v>-1</v>
      </c>
      <c r="K15" s="7">
        <v>23</v>
      </c>
      <c r="L15" s="7">
        <v>-1</v>
      </c>
      <c r="M15" s="7">
        <v>8287</v>
      </c>
      <c r="N15" s="7">
        <v>8274</v>
      </c>
      <c r="O15" s="4">
        <f t="shared" si="0"/>
        <v>13</v>
      </c>
      <c r="P15" s="6">
        <v>2E-3</v>
      </c>
      <c r="Q15" s="7">
        <v>0</v>
      </c>
      <c r="R15" s="7">
        <v>997</v>
      </c>
      <c r="S15" s="6">
        <v>-1</v>
      </c>
      <c r="T15" s="5"/>
      <c r="U15" s="5"/>
      <c r="V15" s="7">
        <v>8620</v>
      </c>
      <c r="W15" s="6">
        <v>0.03</v>
      </c>
      <c r="X15" s="6">
        <v>0</v>
      </c>
      <c r="Y15" s="6">
        <v>1.41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5"/>
      <c r="AG15" s="5"/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0</v>
      </c>
    </row>
    <row r="16" spans="1:39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5</v>
      </c>
      <c r="G16" s="3">
        <v>0.38500000000000001</v>
      </c>
      <c r="H16" s="3">
        <v>0.191</v>
      </c>
      <c r="I16" s="4">
        <v>6</v>
      </c>
      <c r="J16" s="3">
        <v>0</v>
      </c>
      <c r="K16" s="4">
        <v>2</v>
      </c>
      <c r="L16" s="4">
        <v>1</v>
      </c>
      <c r="M16" s="4">
        <v>455</v>
      </c>
      <c r="N16" s="4">
        <v>1183</v>
      </c>
      <c r="O16" s="4">
        <f t="shared" si="0"/>
        <v>-728</v>
      </c>
      <c r="P16" s="3">
        <v>-0.61499999999999999</v>
      </c>
      <c r="Q16" s="4">
        <v>455</v>
      </c>
      <c r="R16" s="4">
        <v>1183</v>
      </c>
      <c r="S16" s="3">
        <v>-0.61499999999999999</v>
      </c>
      <c r="T16" s="4">
        <v>1865.07</v>
      </c>
      <c r="U16" s="3">
        <v>0.184</v>
      </c>
      <c r="V16" s="4">
        <v>515</v>
      </c>
      <c r="W16" s="3">
        <v>-0.53400000000000003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8"/>
      <c r="AG16" s="8"/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4">
        <v>0</v>
      </c>
    </row>
    <row r="17" spans="1:39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0.66100000000000003</v>
      </c>
      <c r="F17" s="3">
        <v>0.375</v>
      </c>
      <c r="G17" s="3">
        <v>0</v>
      </c>
      <c r="H17" s="3">
        <v>0</v>
      </c>
      <c r="I17" s="4">
        <v>0</v>
      </c>
      <c r="J17" s="3">
        <v>-1</v>
      </c>
      <c r="K17" s="4">
        <v>5</v>
      </c>
      <c r="L17" s="4">
        <v>-3</v>
      </c>
      <c r="M17" s="4">
        <v>574</v>
      </c>
      <c r="N17" s="4">
        <v>868</v>
      </c>
      <c r="O17" s="4">
        <f t="shared" si="0"/>
        <v>-294</v>
      </c>
      <c r="P17" s="3">
        <v>-0.33900000000000002</v>
      </c>
      <c r="Q17" s="4">
        <v>0</v>
      </c>
      <c r="R17" s="4">
        <v>98</v>
      </c>
      <c r="S17" s="3">
        <v>-1</v>
      </c>
      <c r="T17" s="8"/>
      <c r="U17" s="8"/>
      <c r="V17" s="4">
        <v>476</v>
      </c>
      <c r="W17" s="3">
        <v>-0.08</v>
      </c>
      <c r="X17" s="3">
        <v>0.14099999999999999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8"/>
      <c r="AG17" s="8"/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4">
        <v>0</v>
      </c>
    </row>
    <row r="18" spans="1:39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1.046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12</v>
      </c>
      <c r="L18" s="4">
        <v>0</v>
      </c>
      <c r="M18" s="4">
        <v>2231</v>
      </c>
      <c r="N18" s="4">
        <v>2133</v>
      </c>
      <c r="O18" s="4">
        <f t="shared" si="0"/>
        <v>98</v>
      </c>
      <c r="P18" s="3">
        <v>4.5999999999999999E-2</v>
      </c>
      <c r="Q18" s="4">
        <v>0</v>
      </c>
      <c r="R18" s="4">
        <v>0</v>
      </c>
      <c r="S18" s="8"/>
      <c r="T18" s="8"/>
      <c r="U18" s="8"/>
      <c r="V18" s="4">
        <v>1640</v>
      </c>
      <c r="W18" s="3">
        <v>2.9000000000000001E-2</v>
      </c>
      <c r="X18" s="3">
        <v>0.44800000000000001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8"/>
      <c r="AG18" s="8"/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4">
        <v>0</v>
      </c>
    </row>
    <row r="19" spans="1:39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1.028</v>
      </c>
      <c r="F19" s="3">
        <v>1.7000000000000001E-2</v>
      </c>
      <c r="G19" s="3">
        <v>0.30599999999999999</v>
      </c>
      <c r="H19" s="3">
        <v>0.30599999999999999</v>
      </c>
      <c r="I19" s="4">
        <v>3</v>
      </c>
      <c r="J19" s="3">
        <v>0.5</v>
      </c>
      <c r="K19" s="4">
        <v>119</v>
      </c>
      <c r="L19" s="4">
        <v>1</v>
      </c>
      <c r="M19" s="4">
        <v>184</v>
      </c>
      <c r="N19" s="4">
        <v>138</v>
      </c>
      <c r="O19" s="4">
        <f t="shared" si="0"/>
        <v>46</v>
      </c>
      <c r="P19" s="3">
        <v>0.33400000000000002</v>
      </c>
      <c r="Q19" s="4">
        <v>42</v>
      </c>
      <c r="R19" s="4">
        <v>30</v>
      </c>
      <c r="S19" s="3">
        <v>0.41199999999999998</v>
      </c>
      <c r="T19" s="4">
        <v>14.07</v>
      </c>
      <c r="U19" s="3">
        <v>-5.8999999999999997E-2</v>
      </c>
      <c r="V19" s="4">
        <v>1114</v>
      </c>
      <c r="W19" s="3">
        <v>-1.7999999999999999E-2</v>
      </c>
      <c r="X19" s="3">
        <v>1.2E-2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8"/>
      <c r="AG19" s="8"/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4">
        <v>0</v>
      </c>
    </row>
    <row r="20" spans="1:39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0.92700000000000005</v>
      </c>
      <c r="F20" s="3">
        <v>7.6999999999999999E-2</v>
      </c>
      <c r="G20" s="3">
        <v>0.59099999999999997</v>
      </c>
      <c r="H20" s="3">
        <v>0.51900000000000002</v>
      </c>
      <c r="I20" s="4">
        <v>6</v>
      </c>
      <c r="J20" s="3">
        <v>0.5</v>
      </c>
      <c r="K20" s="4">
        <v>42</v>
      </c>
      <c r="L20" s="4">
        <v>3</v>
      </c>
      <c r="M20" s="4">
        <v>1911</v>
      </c>
      <c r="N20" s="4">
        <v>1259</v>
      </c>
      <c r="O20" s="4">
        <f t="shared" si="0"/>
        <v>652</v>
      </c>
      <c r="P20" s="3">
        <v>0.51700000000000002</v>
      </c>
      <c r="Q20" s="4">
        <v>744</v>
      </c>
      <c r="R20" s="4">
        <v>245</v>
      </c>
      <c r="S20" s="3">
        <v>2.0409999999999999</v>
      </c>
      <c r="T20" s="4">
        <v>123.96</v>
      </c>
      <c r="U20" s="3">
        <v>0.61399999999999999</v>
      </c>
      <c r="V20" s="4">
        <v>3916</v>
      </c>
      <c r="W20" s="3">
        <v>0.34300000000000003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8"/>
      <c r="AG20" s="8"/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4">
        <v>0</v>
      </c>
    </row>
    <row r="21" spans="1:39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0.77100000000000002</v>
      </c>
      <c r="F21" s="3">
        <v>0.1</v>
      </c>
      <c r="G21" s="3">
        <v>0</v>
      </c>
      <c r="H21" s="3">
        <v>0</v>
      </c>
      <c r="I21" s="4">
        <v>0</v>
      </c>
      <c r="J21" s="8"/>
      <c r="K21" s="4">
        <v>27</v>
      </c>
      <c r="L21" s="4">
        <v>-3</v>
      </c>
      <c r="M21" s="4">
        <v>1465</v>
      </c>
      <c r="N21" s="4">
        <v>1901</v>
      </c>
      <c r="O21" s="4">
        <f t="shared" si="0"/>
        <v>-436</v>
      </c>
      <c r="P21" s="3">
        <v>-0.22900000000000001</v>
      </c>
      <c r="Q21" s="4">
        <v>0</v>
      </c>
      <c r="R21" s="4">
        <v>0</v>
      </c>
      <c r="S21" s="8"/>
      <c r="T21" s="8"/>
      <c r="U21" s="8"/>
      <c r="V21" s="4">
        <v>1555</v>
      </c>
      <c r="W21" s="3">
        <v>-0.111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8"/>
      <c r="AG21" s="8"/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4">
        <v>0</v>
      </c>
    </row>
    <row r="22" spans="1:39" x14ac:dyDescent="0.25">
      <c r="A22" s="12" t="s">
        <v>37</v>
      </c>
      <c r="B22" s="12" t="s">
        <v>48</v>
      </c>
      <c r="C22" s="5" t="s">
        <v>42</v>
      </c>
      <c r="D22" s="5"/>
      <c r="E22" s="6">
        <v>0.746</v>
      </c>
      <c r="F22" s="6">
        <v>7.6999999999999999E-2</v>
      </c>
      <c r="G22" s="6">
        <v>0.16600000000000001</v>
      </c>
      <c r="H22" s="6">
        <v>0.123</v>
      </c>
      <c r="I22" s="7">
        <v>15</v>
      </c>
      <c r="J22" s="6">
        <v>0.154</v>
      </c>
      <c r="K22" s="7">
        <v>207</v>
      </c>
      <c r="L22" s="7">
        <v>-1</v>
      </c>
      <c r="M22" s="7">
        <v>6819</v>
      </c>
      <c r="N22" s="7">
        <v>7481</v>
      </c>
      <c r="O22" s="4">
        <f t="shared" si="0"/>
        <v>-662</v>
      </c>
      <c r="P22" s="6">
        <v>-8.7999999999999995E-2</v>
      </c>
      <c r="Q22" s="7">
        <v>1241</v>
      </c>
      <c r="R22" s="7">
        <v>1555</v>
      </c>
      <c r="S22" s="6">
        <v>-0.20200000000000001</v>
      </c>
      <c r="T22" s="7">
        <v>134.22</v>
      </c>
      <c r="U22" s="6">
        <v>-0.40200000000000002</v>
      </c>
      <c r="V22" s="7">
        <v>9215</v>
      </c>
      <c r="W22" s="6">
        <v>2.1999999999999999E-2</v>
      </c>
      <c r="X22" s="6">
        <v>9.0999999999999998E-2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5"/>
      <c r="AG22" s="5"/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7">
        <v>0</v>
      </c>
    </row>
    <row r="23" spans="1:39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0.97399999999999998</v>
      </c>
      <c r="F23" s="3">
        <v>0.1</v>
      </c>
      <c r="G23" s="3">
        <v>0.248</v>
      </c>
      <c r="H23" s="3">
        <v>0.155</v>
      </c>
      <c r="I23" s="4">
        <v>8</v>
      </c>
      <c r="J23" s="3">
        <v>0.6</v>
      </c>
      <c r="K23" s="4">
        <v>62</v>
      </c>
      <c r="L23" s="4">
        <v>2</v>
      </c>
      <c r="M23" s="4">
        <v>16525</v>
      </c>
      <c r="N23" s="4">
        <v>13530</v>
      </c>
      <c r="O23" s="4">
        <f t="shared" si="0"/>
        <v>2995</v>
      </c>
      <c r="P23" s="3">
        <v>0.221</v>
      </c>
      <c r="Q23" s="4">
        <v>3352</v>
      </c>
      <c r="R23" s="4">
        <v>2804</v>
      </c>
      <c r="S23" s="3">
        <v>0.19500000000000001</v>
      </c>
      <c r="T23" s="4">
        <v>418.97</v>
      </c>
      <c r="U23" s="3">
        <v>-0.253</v>
      </c>
      <c r="V23" s="4">
        <v>16204</v>
      </c>
      <c r="W23" s="3">
        <v>0.16</v>
      </c>
      <c r="X23" s="3">
        <v>1E-3</v>
      </c>
      <c r="Y23" s="3">
        <v>0.39400000000000002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8"/>
      <c r="AG23" s="8"/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4">
        <v>0</v>
      </c>
    </row>
    <row r="24" spans="1:39" x14ac:dyDescent="0.25">
      <c r="A24" s="12" t="s">
        <v>37</v>
      </c>
      <c r="B24" s="12" t="s">
        <v>59</v>
      </c>
      <c r="C24" s="5" t="s">
        <v>42</v>
      </c>
      <c r="D24" s="5"/>
      <c r="E24" s="6">
        <v>0.97399999999999998</v>
      </c>
      <c r="F24" s="6">
        <v>0.1</v>
      </c>
      <c r="G24" s="6">
        <v>0.248</v>
      </c>
      <c r="H24" s="6">
        <v>0.155</v>
      </c>
      <c r="I24" s="7">
        <v>8</v>
      </c>
      <c r="J24" s="6">
        <v>0.6</v>
      </c>
      <c r="K24" s="7">
        <v>62</v>
      </c>
      <c r="L24" s="7">
        <v>2</v>
      </c>
      <c r="M24" s="7">
        <v>16525</v>
      </c>
      <c r="N24" s="7">
        <v>13530</v>
      </c>
      <c r="O24" s="4">
        <f t="shared" si="0"/>
        <v>2995</v>
      </c>
      <c r="P24" s="6">
        <v>0.221</v>
      </c>
      <c r="Q24" s="7">
        <v>3352</v>
      </c>
      <c r="R24" s="7">
        <v>2804</v>
      </c>
      <c r="S24" s="6">
        <v>0.19500000000000001</v>
      </c>
      <c r="T24" s="7">
        <v>418.97</v>
      </c>
      <c r="U24" s="6">
        <v>-0.253</v>
      </c>
      <c r="V24" s="7">
        <v>16204</v>
      </c>
      <c r="W24" s="6">
        <v>0.16</v>
      </c>
      <c r="X24" s="6">
        <v>1E-3</v>
      </c>
      <c r="Y24" s="6">
        <v>0.39400000000000002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5"/>
      <c r="AG24" s="5"/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7">
        <v>0</v>
      </c>
    </row>
    <row r="25" spans="1:39" x14ac:dyDescent="0.25">
      <c r="A25" s="12" t="s">
        <v>37</v>
      </c>
      <c r="B25" s="5" t="s">
        <v>42</v>
      </c>
      <c r="C25" s="5"/>
      <c r="D25" s="5"/>
      <c r="E25" s="6">
        <v>0.92200000000000004</v>
      </c>
      <c r="F25" s="6">
        <v>6.7000000000000004E-2</v>
      </c>
      <c r="G25" s="6">
        <v>0.11899999999999999</v>
      </c>
      <c r="H25" s="6">
        <v>8.3000000000000004E-2</v>
      </c>
      <c r="I25" s="7">
        <v>318</v>
      </c>
      <c r="J25" s="6">
        <v>0.27700000000000002</v>
      </c>
      <c r="K25" s="7">
        <v>3870</v>
      </c>
      <c r="L25" s="7">
        <v>62</v>
      </c>
      <c r="M25" s="7">
        <v>667282</v>
      </c>
      <c r="N25" s="7">
        <v>641132</v>
      </c>
      <c r="O25" s="4">
        <f t="shared" si="0"/>
        <v>26150</v>
      </c>
      <c r="P25" s="6">
        <v>4.1000000000000002E-2</v>
      </c>
      <c r="Q25" s="7">
        <v>76062</v>
      </c>
      <c r="R25" s="7">
        <v>74555</v>
      </c>
      <c r="S25" s="6">
        <v>0.02</v>
      </c>
      <c r="T25" s="7">
        <v>247.99</v>
      </c>
      <c r="U25" s="6">
        <v>-0.223</v>
      </c>
      <c r="V25" s="7">
        <v>589644</v>
      </c>
      <c r="W25" s="6">
        <v>2.5999999999999999E-2</v>
      </c>
      <c r="X25" s="6">
        <v>8.0000000000000002E-3</v>
      </c>
      <c r="Y25" s="6">
        <v>0.73799999999999999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5"/>
      <c r="AG25" s="5"/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7">
        <v>0</v>
      </c>
    </row>
    <row r="26" spans="1:39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1.415</v>
      </c>
      <c r="F26" s="3">
        <v>0.10199999999999999</v>
      </c>
      <c r="G26" s="3">
        <v>0.34399999999999997</v>
      </c>
      <c r="H26" s="3">
        <v>0.157</v>
      </c>
      <c r="I26" s="4">
        <v>14</v>
      </c>
      <c r="J26" s="3">
        <v>1.333</v>
      </c>
      <c r="K26" s="4">
        <v>93</v>
      </c>
      <c r="L26" s="4">
        <v>5</v>
      </c>
      <c r="M26" s="4">
        <v>8446</v>
      </c>
      <c r="N26" s="4">
        <v>4800</v>
      </c>
      <c r="O26" s="4">
        <f t="shared" si="0"/>
        <v>3646</v>
      </c>
      <c r="P26" s="3">
        <v>0.76</v>
      </c>
      <c r="Q26" s="4">
        <v>1652</v>
      </c>
      <c r="R26" s="4">
        <v>764</v>
      </c>
      <c r="S26" s="3">
        <v>1.163</v>
      </c>
      <c r="T26" s="4">
        <v>136.9</v>
      </c>
      <c r="U26" s="3">
        <v>-7.0999999999999994E-2</v>
      </c>
      <c r="V26" s="4">
        <v>7099</v>
      </c>
      <c r="W26" s="3">
        <v>0.379</v>
      </c>
      <c r="X26" s="3">
        <v>0.01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8"/>
      <c r="AG26" s="8"/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4">
        <v>0</v>
      </c>
    </row>
    <row r="27" spans="1:39" x14ac:dyDescent="0.25">
      <c r="A27" s="12" t="s">
        <v>61</v>
      </c>
      <c r="B27" s="12" t="s">
        <v>39</v>
      </c>
      <c r="C27" s="5" t="s">
        <v>42</v>
      </c>
      <c r="D27" s="5"/>
      <c r="E27" s="6">
        <v>1.415</v>
      </c>
      <c r="F27" s="6">
        <v>0.10199999999999999</v>
      </c>
      <c r="G27" s="6">
        <v>0.34399999999999997</v>
      </c>
      <c r="H27" s="6">
        <v>0.157</v>
      </c>
      <c r="I27" s="7">
        <v>14</v>
      </c>
      <c r="J27" s="6">
        <v>1.333</v>
      </c>
      <c r="K27" s="7">
        <v>93</v>
      </c>
      <c r="L27" s="7">
        <v>5</v>
      </c>
      <c r="M27" s="7">
        <v>8446</v>
      </c>
      <c r="N27" s="7">
        <v>4800</v>
      </c>
      <c r="O27" s="4">
        <f t="shared" si="0"/>
        <v>3646</v>
      </c>
      <c r="P27" s="6">
        <v>0.76</v>
      </c>
      <c r="Q27" s="7">
        <v>1652</v>
      </c>
      <c r="R27" s="7">
        <v>764</v>
      </c>
      <c r="S27" s="6">
        <v>1.163</v>
      </c>
      <c r="T27" s="7">
        <v>136.9</v>
      </c>
      <c r="U27" s="6">
        <v>-7.0999999999999994E-2</v>
      </c>
      <c r="V27" s="7">
        <v>7099</v>
      </c>
      <c r="W27" s="6">
        <v>0.379</v>
      </c>
      <c r="X27" s="6">
        <v>0.01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5"/>
      <c r="AG27" s="5"/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7">
        <v>0</v>
      </c>
    </row>
    <row r="28" spans="1:39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0.13200000000000001</v>
      </c>
      <c r="F28" s="3">
        <v>4.8000000000000001E-2</v>
      </c>
      <c r="G28" s="3">
        <v>0.77600000000000002</v>
      </c>
      <c r="H28" s="3">
        <v>0.77600000000000002</v>
      </c>
      <c r="I28" s="4">
        <v>14</v>
      </c>
      <c r="J28" s="3">
        <v>-0.36399999999999999</v>
      </c>
      <c r="K28" s="4">
        <v>73</v>
      </c>
      <c r="L28" s="4">
        <v>11</v>
      </c>
      <c r="M28" s="4">
        <v>8731</v>
      </c>
      <c r="N28" s="4">
        <v>9610</v>
      </c>
      <c r="O28" s="4">
        <f t="shared" si="0"/>
        <v>-879</v>
      </c>
      <c r="P28" s="3">
        <v>-9.0999999999999998E-2</v>
      </c>
      <c r="Q28" s="4">
        <v>7459</v>
      </c>
      <c r="R28" s="4">
        <v>7454</v>
      </c>
      <c r="S28" s="3">
        <v>1E-3</v>
      </c>
      <c r="T28" s="4">
        <v>524.89</v>
      </c>
      <c r="U28" s="3">
        <v>0.55700000000000005</v>
      </c>
      <c r="V28" s="4">
        <v>14426</v>
      </c>
      <c r="W28" s="3">
        <v>-0.22</v>
      </c>
      <c r="X28" s="3">
        <v>0</v>
      </c>
      <c r="Y28" s="3">
        <v>0.67500000000000004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8"/>
      <c r="AG28" s="8"/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4">
        <v>0</v>
      </c>
    </row>
    <row r="29" spans="1:39" x14ac:dyDescent="0.25">
      <c r="A29" s="12" t="s">
        <v>61</v>
      </c>
      <c r="B29" s="12" t="s">
        <v>43</v>
      </c>
      <c r="C29" s="5" t="s">
        <v>42</v>
      </c>
      <c r="D29" s="5"/>
      <c r="E29" s="6">
        <v>0.13200000000000001</v>
      </c>
      <c r="F29" s="6">
        <v>4.8000000000000001E-2</v>
      </c>
      <c r="G29" s="6">
        <v>0.77600000000000002</v>
      </c>
      <c r="H29" s="6">
        <v>0.77600000000000002</v>
      </c>
      <c r="I29" s="7">
        <v>14</v>
      </c>
      <c r="J29" s="6">
        <v>-0.36399999999999999</v>
      </c>
      <c r="K29" s="7">
        <v>73</v>
      </c>
      <c r="L29" s="7">
        <v>11</v>
      </c>
      <c r="M29" s="7">
        <v>8731</v>
      </c>
      <c r="N29" s="7">
        <v>9610</v>
      </c>
      <c r="O29" s="4">
        <f t="shared" si="0"/>
        <v>-879</v>
      </c>
      <c r="P29" s="6">
        <v>-9.0999999999999998E-2</v>
      </c>
      <c r="Q29" s="7">
        <v>7459</v>
      </c>
      <c r="R29" s="7">
        <v>7454</v>
      </c>
      <c r="S29" s="6">
        <v>1E-3</v>
      </c>
      <c r="T29" s="7">
        <v>524.89</v>
      </c>
      <c r="U29" s="6">
        <v>0.55700000000000005</v>
      </c>
      <c r="V29" s="7">
        <v>14426</v>
      </c>
      <c r="W29" s="6">
        <v>-0.22</v>
      </c>
      <c r="X29" s="6">
        <v>0</v>
      </c>
      <c r="Y29" s="6">
        <v>0.67500000000000004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5"/>
      <c r="AG29" s="5"/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0</v>
      </c>
    </row>
    <row r="30" spans="1:39" x14ac:dyDescent="0.25">
      <c r="A30" s="12" t="s">
        <v>61</v>
      </c>
      <c r="B30" s="12" t="s">
        <v>64</v>
      </c>
      <c r="C30" s="2" t="s">
        <v>53</v>
      </c>
      <c r="D30" s="2" t="s">
        <v>104</v>
      </c>
      <c r="E30" s="3">
        <v>0</v>
      </c>
      <c r="F30" s="3">
        <v>0</v>
      </c>
      <c r="G30" s="3">
        <v>0</v>
      </c>
      <c r="H30" s="3">
        <v>0</v>
      </c>
      <c r="I30" s="4">
        <v>0</v>
      </c>
      <c r="J30" s="8"/>
      <c r="K30" s="4">
        <v>1</v>
      </c>
      <c r="L30" s="4">
        <v>0</v>
      </c>
      <c r="M30" s="4">
        <v>0</v>
      </c>
      <c r="N30" s="4">
        <v>0</v>
      </c>
      <c r="O30" s="4">
        <f t="shared" si="0"/>
        <v>0</v>
      </c>
      <c r="P30" s="8"/>
      <c r="Q30" s="4">
        <v>0</v>
      </c>
      <c r="R30" s="4">
        <v>0</v>
      </c>
      <c r="S30" s="8"/>
      <c r="T30" s="8"/>
      <c r="U30" s="8"/>
      <c r="V30" s="4">
        <v>165</v>
      </c>
      <c r="W30" s="3">
        <v>0.05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8"/>
      <c r="AG30" s="8"/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4">
        <v>0</v>
      </c>
    </row>
    <row r="31" spans="1:39" x14ac:dyDescent="0.25">
      <c r="A31" s="12" t="s">
        <v>61</v>
      </c>
      <c r="B31" s="12" t="s">
        <v>64</v>
      </c>
      <c r="C31" s="2" t="s">
        <v>65</v>
      </c>
      <c r="D31" s="2" t="s">
        <v>65</v>
      </c>
      <c r="E31" s="3">
        <v>1.0349999999999999</v>
      </c>
      <c r="F31" s="3">
        <v>0.115</v>
      </c>
      <c r="G31" s="3">
        <v>0.06</v>
      </c>
      <c r="H31" s="3">
        <v>4.1000000000000002E-2</v>
      </c>
      <c r="I31" s="4">
        <v>3</v>
      </c>
      <c r="J31" s="3">
        <v>-0.4</v>
      </c>
      <c r="K31" s="4">
        <v>49</v>
      </c>
      <c r="L31" s="4">
        <v>-3</v>
      </c>
      <c r="M31" s="4">
        <v>27652</v>
      </c>
      <c r="N31" s="4">
        <v>25245</v>
      </c>
      <c r="O31" s="4">
        <f t="shared" si="0"/>
        <v>2407</v>
      </c>
      <c r="P31" s="3">
        <v>9.5000000000000001E-2</v>
      </c>
      <c r="Q31" s="4">
        <v>1512</v>
      </c>
      <c r="R31" s="4">
        <v>4762</v>
      </c>
      <c r="S31" s="3">
        <v>-0.68200000000000005</v>
      </c>
      <c r="T31" s="4">
        <v>504.07</v>
      </c>
      <c r="U31" s="3">
        <v>-0.47099999999999997</v>
      </c>
      <c r="V31" s="4">
        <v>27294</v>
      </c>
      <c r="W31" s="3">
        <v>-7.0000000000000007E-2</v>
      </c>
      <c r="X31" s="3">
        <v>8.9999999999999993E-3</v>
      </c>
      <c r="Y31" s="3">
        <v>1.2789999999999999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8"/>
      <c r="AG31" s="8"/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4">
        <v>0</v>
      </c>
    </row>
    <row r="32" spans="1:39" x14ac:dyDescent="0.25">
      <c r="A32" s="12" t="s">
        <v>61</v>
      </c>
      <c r="B32" s="12" t="s">
        <v>64</v>
      </c>
      <c r="C32" s="5" t="s">
        <v>42</v>
      </c>
      <c r="D32" s="5"/>
      <c r="E32" s="6">
        <v>1.0349999999999999</v>
      </c>
      <c r="F32" s="6">
        <v>0.113</v>
      </c>
      <c r="G32" s="6">
        <v>0.06</v>
      </c>
      <c r="H32" s="6">
        <v>4.1000000000000002E-2</v>
      </c>
      <c r="I32" s="7">
        <v>3</v>
      </c>
      <c r="J32" s="6">
        <v>-0.4</v>
      </c>
      <c r="K32" s="7">
        <v>50</v>
      </c>
      <c r="L32" s="7">
        <v>-3</v>
      </c>
      <c r="M32" s="7">
        <v>27652</v>
      </c>
      <c r="N32" s="7">
        <v>25245</v>
      </c>
      <c r="O32" s="4">
        <f t="shared" si="0"/>
        <v>2407</v>
      </c>
      <c r="P32" s="6">
        <v>9.5000000000000001E-2</v>
      </c>
      <c r="Q32" s="7">
        <v>1512</v>
      </c>
      <c r="R32" s="7">
        <v>4762</v>
      </c>
      <c r="S32" s="6">
        <v>-0.68200000000000005</v>
      </c>
      <c r="T32" s="7">
        <v>504.07</v>
      </c>
      <c r="U32" s="6">
        <v>-0.47099999999999997</v>
      </c>
      <c r="V32" s="7">
        <v>27459</v>
      </c>
      <c r="W32" s="6">
        <v>-6.9000000000000006E-2</v>
      </c>
      <c r="X32" s="6">
        <v>8.9999999999999993E-3</v>
      </c>
      <c r="Y32" s="6">
        <v>1.2709999999999999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5"/>
      <c r="AG32" s="5"/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7">
        <v>0</v>
      </c>
    </row>
    <row r="33" spans="1:39" x14ac:dyDescent="0.25">
      <c r="A33" s="12" t="s">
        <v>61</v>
      </c>
      <c r="B33" s="12" t="s">
        <v>66</v>
      </c>
      <c r="C33" s="2" t="s">
        <v>55</v>
      </c>
      <c r="D33" s="2" t="s">
        <v>67</v>
      </c>
      <c r="E33" s="3">
        <v>0.95799999999999996</v>
      </c>
      <c r="F33" s="3">
        <v>0.04</v>
      </c>
      <c r="G33" s="3">
        <v>9.0999999999999998E-2</v>
      </c>
      <c r="H33" s="3">
        <v>0.08</v>
      </c>
      <c r="I33" s="4">
        <v>5</v>
      </c>
      <c r="J33" s="3">
        <v>0</v>
      </c>
      <c r="K33" s="4">
        <v>53</v>
      </c>
      <c r="L33" s="4">
        <v>3</v>
      </c>
      <c r="M33" s="4">
        <v>41257</v>
      </c>
      <c r="N33" s="4">
        <v>39307</v>
      </c>
      <c r="O33" s="4">
        <f t="shared" si="0"/>
        <v>1950</v>
      </c>
      <c r="P33" s="3">
        <v>0.05</v>
      </c>
      <c r="Q33" s="4">
        <v>3585</v>
      </c>
      <c r="R33" s="4">
        <v>2126</v>
      </c>
      <c r="S33" s="3">
        <v>0.68600000000000005</v>
      </c>
      <c r="T33" s="4">
        <v>717.01</v>
      </c>
      <c r="U33" s="3">
        <v>0.35799999999999998</v>
      </c>
      <c r="V33" s="4">
        <v>29262</v>
      </c>
      <c r="W33" s="3">
        <v>-1.6E-2</v>
      </c>
      <c r="X33" s="3">
        <v>2.7E-2</v>
      </c>
      <c r="Y33" s="3">
        <v>5.0999999999999997E-2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8"/>
      <c r="AG33" s="8"/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4">
        <v>0</v>
      </c>
    </row>
    <row r="34" spans="1:39" x14ac:dyDescent="0.25">
      <c r="A34" s="12" t="s">
        <v>61</v>
      </c>
      <c r="B34" s="12" t="s">
        <v>66</v>
      </c>
      <c r="C34" s="5" t="s">
        <v>42</v>
      </c>
      <c r="D34" s="5"/>
      <c r="E34" s="6">
        <v>0.95799999999999996</v>
      </c>
      <c r="F34" s="6">
        <v>0.04</v>
      </c>
      <c r="G34" s="6">
        <v>9.0999999999999998E-2</v>
      </c>
      <c r="H34" s="6">
        <v>0.08</v>
      </c>
      <c r="I34" s="7">
        <v>5</v>
      </c>
      <c r="J34" s="6">
        <v>0</v>
      </c>
      <c r="K34" s="7">
        <v>53</v>
      </c>
      <c r="L34" s="7">
        <v>3</v>
      </c>
      <c r="M34" s="7">
        <v>41257</v>
      </c>
      <c r="N34" s="7">
        <v>39307</v>
      </c>
      <c r="O34" s="4">
        <f t="shared" si="0"/>
        <v>1950</v>
      </c>
      <c r="P34" s="6">
        <v>0.05</v>
      </c>
      <c r="Q34" s="7">
        <v>3585</v>
      </c>
      <c r="R34" s="7">
        <v>2126</v>
      </c>
      <c r="S34" s="6">
        <v>0.68600000000000005</v>
      </c>
      <c r="T34" s="7">
        <v>717.01</v>
      </c>
      <c r="U34" s="6">
        <v>0.35799999999999998</v>
      </c>
      <c r="V34" s="7">
        <v>29262</v>
      </c>
      <c r="W34" s="6">
        <v>-1.6E-2</v>
      </c>
      <c r="X34" s="6">
        <v>2.7E-2</v>
      </c>
      <c r="Y34" s="6">
        <v>5.0999999999999997E-2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5"/>
      <c r="AG34" s="5"/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7">
        <v>0</v>
      </c>
    </row>
    <row r="35" spans="1:39" x14ac:dyDescent="0.25">
      <c r="A35" s="12" t="s">
        <v>61</v>
      </c>
      <c r="B35" s="12" t="s">
        <v>68</v>
      </c>
      <c r="C35" s="2" t="s">
        <v>69</v>
      </c>
      <c r="D35" s="2" t="s">
        <v>70</v>
      </c>
      <c r="E35" s="3">
        <v>0.98899999999999999</v>
      </c>
      <c r="F35" s="3">
        <v>0</v>
      </c>
      <c r="G35" s="3">
        <v>0</v>
      </c>
      <c r="H35" s="3">
        <v>0</v>
      </c>
      <c r="I35" s="4">
        <v>0</v>
      </c>
      <c r="J35" s="3">
        <v>-1</v>
      </c>
      <c r="K35" s="4">
        <v>14</v>
      </c>
      <c r="L35" s="4">
        <v>0</v>
      </c>
      <c r="M35" s="4">
        <v>5854</v>
      </c>
      <c r="N35" s="4">
        <v>5921</v>
      </c>
      <c r="O35" s="4">
        <f t="shared" si="0"/>
        <v>-67</v>
      </c>
      <c r="P35" s="3">
        <v>-1.0999999999999999E-2</v>
      </c>
      <c r="Q35" s="4">
        <v>0</v>
      </c>
      <c r="R35" s="4">
        <v>350</v>
      </c>
      <c r="S35" s="3">
        <v>-1</v>
      </c>
      <c r="T35" s="8"/>
      <c r="U35" s="8"/>
      <c r="V35" s="4">
        <v>3293</v>
      </c>
      <c r="W35" s="3">
        <v>-1E-3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8"/>
      <c r="AG35" s="8"/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4">
        <v>0</v>
      </c>
    </row>
    <row r="36" spans="1:39" x14ac:dyDescent="0.25">
      <c r="A36" s="12" t="s">
        <v>61</v>
      </c>
      <c r="B36" s="12" t="s">
        <v>68</v>
      </c>
      <c r="C36" s="5" t="s">
        <v>42</v>
      </c>
      <c r="D36" s="5"/>
      <c r="E36" s="6">
        <v>0.98899999999999999</v>
      </c>
      <c r="F36" s="6">
        <v>0</v>
      </c>
      <c r="G36" s="6">
        <v>0</v>
      </c>
      <c r="H36" s="6">
        <v>0</v>
      </c>
      <c r="I36" s="7">
        <v>0</v>
      </c>
      <c r="J36" s="6">
        <v>-1</v>
      </c>
      <c r="K36" s="7">
        <v>14</v>
      </c>
      <c r="L36" s="7">
        <v>0</v>
      </c>
      <c r="M36" s="7">
        <v>5854</v>
      </c>
      <c r="N36" s="7">
        <v>5921</v>
      </c>
      <c r="O36" s="4">
        <f t="shared" si="0"/>
        <v>-67</v>
      </c>
      <c r="P36" s="6">
        <v>-1.0999999999999999E-2</v>
      </c>
      <c r="Q36" s="7">
        <v>0</v>
      </c>
      <c r="R36" s="7">
        <v>350</v>
      </c>
      <c r="S36" s="6">
        <v>-1</v>
      </c>
      <c r="T36" s="5"/>
      <c r="U36" s="5"/>
      <c r="V36" s="7">
        <v>3293</v>
      </c>
      <c r="W36" s="6">
        <v>-1E-3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5"/>
      <c r="AG36" s="5"/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7">
        <v>0</v>
      </c>
    </row>
    <row r="37" spans="1:39" x14ac:dyDescent="0.25">
      <c r="A37" s="12" t="s">
        <v>61</v>
      </c>
      <c r="B37" s="12" t="s">
        <v>46</v>
      </c>
      <c r="C37" s="2" t="s">
        <v>71</v>
      </c>
      <c r="D37" s="2" t="s">
        <v>71</v>
      </c>
      <c r="E37" s="3">
        <v>1.0580000000000001</v>
      </c>
      <c r="F37" s="3">
        <v>5.7000000000000002E-2</v>
      </c>
      <c r="G37" s="3">
        <v>7.6999999999999999E-2</v>
      </c>
      <c r="H37" s="3">
        <v>0</v>
      </c>
      <c r="I37" s="4">
        <v>2</v>
      </c>
      <c r="J37" s="3">
        <v>-0.75</v>
      </c>
      <c r="K37" s="4">
        <v>68</v>
      </c>
      <c r="L37" s="4">
        <v>-2</v>
      </c>
      <c r="M37" s="4">
        <v>22341</v>
      </c>
      <c r="N37" s="4">
        <v>19675</v>
      </c>
      <c r="O37" s="4">
        <f t="shared" si="0"/>
        <v>2666</v>
      </c>
      <c r="P37" s="3">
        <v>0.13600000000000001</v>
      </c>
      <c r="Q37" s="4">
        <v>1521</v>
      </c>
      <c r="R37" s="4">
        <v>3961</v>
      </c>
      <c r="S37" s="3">
        <v>-0.61599999999999999</v>
      </c>
      <c r="T37" s="4">
        <v>760.28</v>
      </c>
      <c r="U37" s="3">
        <v>0.53600000000000003</v>
      </c>
      <c r="V37" s="4">
        <v>17538</v>
      </c>
      <c r="W37" s="3">
        <v>1.4E-2</v>
      </c>
      <c r="X37" s="3">
        <v>2.5000000000000001E-2</v>
      </c>
      <c r="Y37" s="3">
        <v>1.3939999999999999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8"/>
      <c r="AG37" s="8"/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4">
        <v>0</v>
      </c>
    </row>
    <row r="38" spans="1:39" x14ac:dyDescent="0.25">
      <c r="A38" s="12" t="s">
        <v>61</v>
      </c>
      <c r="B38" s="12" t="s">
        <v>46</v>
      </c>
      <c r="C38" s="2" t="s">
        <v>72</v>
      </c>
      <c r="D38" s="2" t="s">
        <v>72</v>
      </c>
      <c r="E38" s="3">
        <v>1.27</v>
      </c>
      <c r="F38" s="3">
        <v>9.4E-2</v>
      </c>
      <c r="G38" s="3">
        <v>0.192</v>
      </c>
      <c r="H38" s="3">
        <v>0.17</v>
      </c>
      <c r="I38" s="4">
        <v>3</v>
      </c>
      <c r="J38" s="3">
        <v>2</v>
      </c>
      <c r="K38" s="4">
        <v>32</v>
      </c>
      <c r="L38" s="4">
        <v>0</v>
      </c>
      <c r="M38" s="4">
        <v>6969</v>
      </c>
      <c r="N38" s="4">
        <v>4766</v>
      </c>
      <c r="O38" s="4">
        <f t="shared" si="0"/>
        <v>2203</v>
      </c>
      <c r="P38" s="3">
        <v>0.46200000000000002</v>
      </c>
      <c r="Q38" s="4">
        <v>914</v>
      </c>
      <c r="R38" s="4">
        <v>186</v>
      </c>
      <c r="S38" s="3">
        <v>3.915</v>
      </c>
      <c r="T38" s="4">
        <v>304.56</v>
      </c>
      <c r="U38" s="3">
        <v>0.63800000000000001</v>
      </c>
      <c r="V38" s="4">
        <v>4059</v>
      </c>
      <c r="W38" s="3">
        <v>0.115</v>
      </c>
      <c r="X38" s="3">
        <v>9.8000000000000004E-2</v>
      </c>
      <c r="Y38" s="3">
        <v>0.82299999999999995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8"/>
      <c r="AG38" s="8"/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4">
        <v>0</v>
      </c>
    </row>
    <row r="39" spans="1:39" x14ac:dyDescent="0.25">
      <c r="A39" s="12" t="s">
        <v>61</v>
      </c>
      <c r="B39" s="12" t="s">
        <v>46</v>
      </c>
      <c r="C39" s="5" t="s">
        <v>42</v>
      </c>
      <c r="D39" s="5"/>
      <c r="E39" s="6">
        <v>1.1000000000000001</v>
      </c>
      <c r="F39" s="6">
        <v>6.9000000000000006E-2</v>
      </c>
      <c r="G39" s="6">
        <v>0.1</v>
      </c>
      <c r="H39" s="6">
        <v>3.3000000000000002E-2</v>
      </c>
      <c r="I39" s="7">
        <v>5</v>
      </c>
      <c r="J39" s="6">
        <v>-0.44400000000000001</v>
      </c>
      <c r="K39" s="7">
        <v>100</v>
      </c>
      <c r="L39" s="7">
        <v>-2</v>
      </c>
      <c r="M39" s="7">
        <v>29310</v>
      </c>
      <c r="N39" s="7">
        <v>24441</v>
      </c>
      <c r="O39" s="4">
        <f t="shared" si="0"/>
        <v>4869</v>
      </c>
      <c r="P39" s="6">
        <v>0.19900000000000001</v>
      </c>
      <c r="Q39" s="7">
        <v>2434</v>
      </c>
      <c r="R39" s="7">
        <v>4147</v>
      </c>
      <c r="S39" s="6">
        <v>-0.41299999999999998</v>
      </c>
      <c r="T39" s="7">
        <v>486.85</v>
      </c>
      <c r="U39" s="6">
        <v>5.7000000000000002E-2</v>
      </c>
      <c r="V39" s="7">
        <v>21598</v>
      </c>
      <c r="W39" s="6">
        <v>3.1E-2</v>
      </c>
      <c r="X39" s="6">
        <v>3.9E-2</v>
      </c>
      <c r="Y39" s="6">
        <v>1.2869999999999999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5"/>
      <c r="AG39" s="5"/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7">
        <v>0</v>
      </c>
    </row>
    <row r="40" spans="1:39" ht="33.75" x14ac:dyDescent="0.25">
      <c r="A40" s="12" t="s">
        <v>61</v>
      </c>
      <c r="B40" s="12" t="s">
        <v>73</v>
      </c>
      <c r="C40" s="2" t="s">
        <v>73</v>
      </c>
      <c r="D40" s="2" t="s">
        <v>74</v>
      </c>
      <c r="E40" s="3">
        <v>0.53400000000000003</v>
      </c>
      <c r="F40" s="3">
        <v>0</v>
      </c>
      <c r="G40" s="3">
        <v>0.26300000000000001</v>
      </c>
      <c r="H40" s="3">
        <v>0</v>
      </c>
      <c r="I40" s="4">
        <v>1</v>
      </c>
      <c r="J40" s="3">
        <v>-0.5</v>
      </c>
      <c r="K40" s="4">
        <v>10</v>
      </c>
      <c r="L40" s="4">
        <v>1</v>
      </c>
      <c r="M40" s="4">
        <v>1094</v>
      </c>
      <c r="N40" s="4">
        <v>1371</v>
      </c>
      <c r="O40" s="4">
        <f t="shared" si="0"/>
        <v>-277</v>
      </c>
      <c r="P40" s="3">
        <v>-0.20200000000000001</v>
      </c>
      <c r="Q40" s="4">
        <v>361</v>
      </c>
      <c r="R40" s="4">
        <v>403</v>
      </c>
      <c r="S40" s="3">
        <v>-0.10299999999999999</v>
      </c>
      <c r="T40" s="4">
        <v>361.2</v>
      </c>
      <c r="U40" s="3">
        <v>-5.6000000000000001E-2</v>
      </c>
      <c r="V40" s="4">
        <v>2565</v>
      </c>
      <c r="W40" s="3">
        <v>-0.22500000000000001</v>
      </c>
      <c r="X40" s="3">
        <v>2.4E-2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8"/>
      <c r="AG40" s="8"/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4">
        <v>0</v>
      </c>
    </row>
    <row r="41" spans="1:39" x14ac:dyDescent="0.25">
      <c r="A41" s="12" t="s">
        <v>61</v>
      </c>
      <c r="B41" s="12" t="s">
        <v>73</v>
      </c>
      <c r="C41" s="5" t="s">
        <v>42</v>
      </c>
      <c r="D41" s="5"/>
      <c r="E41" s="6">
        <v>0.53400000000000003</v>
      </c>
      <c r="F41" s="6">
        <v>0</v>
      </c>
      <c r="G41" s="6">
        <v>0.26300000000000001</v>
      </c>
      <c r="H41" s="6">
        <v>0</v>
      </c>
      <c r="I41" s="7">
        <v>1</v>
      </c>
      <c r="J41" s="6">
        <v>-0.5</v>
      </c>
      <c r="K41" s="7">
        <v>10</v>
      </c>
      <c r="L41" s="7">
        <v>1</v>
      </c>
      <c r="M41" s="7">
        <v>1094</v>
      </c>
      <c r="N41" s="7">
        <v>1371</v>
      </c>
      <c r="O41" s="4">
        <f t="shared" si="0"/>
        <v>-277</v>
      </c>
      <c r="P41" s="6">
        <v>-0.20200000000000001</v>
      </c>
      <c r="Q41" s="7">
        <v>361</v>
      </c>
      <c r="R41" s="7">
        <v>403</v>
      </c>
      <c r="S41" s="6">
        <v>-0.10299999999999999</v>
      </c>
      <c r="T41" s="7">
        <v>361.2</v>
      </c>
      <c r="U41" s="6">
        <v>-5.6000000000000001E-2</v>
      </c>
      <c r="V41" s="7">
        <v>2565</v>
      </c>
      <c r="W41" s="6">
        <v>-0.22500000000000001</v>
      </c>
      <c r="X41" s="6">
        <v>2.4E-2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5"/>
      <c r="AG41" s="5"/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7">
        <v>0</v>
      </c>
    </row>
    <row r="42" spans="1:39" x14ac:dyDescent="0.25">
      <c r="A42" s="12" t="s">
        <v>61</v>
      </c>
      <c r="B42" s="5" t="s">
        <v>42</v>
      </c>
      <c r="C42" s="5"/>
      <c r="D42" s="5"/>
      <c r="E42" s="6">
        <v>0.95199999999999996</v>
      </c>
      <c r="F42" s="6">
        <v>7.0999999999999994E-2</v>
      </c>
      <c r="G42" s="6">
        <v>0.154</v>
      </c>
      <c r="H42" s="6">
        <v>0.11899999999999999</v>
      </c>
      <c r="I42" s="7">
        <v>42</v>
      </c>
      <c r="J42" s="6">
        <v>-0.16</v>
      </c>
      <c r="K42" s="7">
        <v>393</v>
      </c>
      <c r="L42" s="7">
        <v>15</v>
      </c>
      <c r="M42" s="7">
        <v>122344</v>
      </c>
      <c r="N42" s="7">
        <v>110696</v>
      </c>
      <c r="O42" s="4">
        <f t="shared" si="0"/>
        <v>11648</v>
      </c>
      <c r="P42" s="6">
        <v>0.105</v>
      </c>
      <c r="Q42" s="7">
        <v>17004</v>
      </c>
      <c r="R42" s="7">
        <v>20005</v>
      </c>
      <c r="S42" s="6">
        <v>-0.15</v>
      </c>
      <c r="T42" s="7">
        <v>422.15</v>
      </c>
      <c r="U42" s="6">
        <v>0</v>
      </c>
      <c r="V42" s="7">
        <v>105703</v>
      </c>
      <c r="W42" s="6">
        <v>-4.2999999999999997E-2</v>
      </c>
      <c r="X42" s="6">
        <v>1.9E-2</v>
      </c>
      <c r="Y42" s="6">
        <v>0.69899999999999995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5"/>
      <c r="AG42" s="5"/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7">
        <v>0</v>
      </c>
    </row>
    <row r="43" spans="1:39" x14ac:dyDescent="0.25">
      <c r="A43" s="2" t="s">
        <v>75</v>
      </c>
      <c r="B43" s="2" t="s">
        <v>75</v>
      </c>
      <c r="C43" s="2" t="s">
        <v>75</v>
      </c>
      <c r="D43" s="2" t="s">
        <v>75</v>
      </c>
      <c r="E43" s="6">
        <v>0.92600000000000005</v>
      </c>
      <c r="F43" s="6">
        <v>6.8000000000000005E-2</v>
      </c>
      <c r="G43" s="6">
        <v>0.124</v>
      </c>
      <c r="H43" s="6">
        <v>8.7999999999999995E-2</v>
      </c>
      <c r="I43" s="7">
        <v>360</v>
      </c>
      <c r="J43" s="6">
        <v>0.20399999999999999</v>
      </c>
      <c r="K43" s="7">
        <v>4263</v>
      </c>
      <c r="L43" s="7">
        <v>77</v>
      </c>
      <c r="M43" s="7">
        <v>789627</v>
      </c>
      <c r="N43" s="7">
        <v>751828</v>
      </c>
      <c r="O43" s="4">
        <f t="shared" si="0"/>
        <v>37799</v>
      </c>
      <c r="P43" s="6">
        <v>0.05</v>
      </c>
      <c r="Q43" s="7">
        <v>93066</v>
      </c>
      <c r="R43" s="7">
        <v>94560</v>
      </c>
      <c r="S43" s="6">
        <v>-1.6E-2</v>
      </c>
      <c r="T43" s="7">
        <v>268.20999999999998</v>
      </c>
      <c r="U43" s="6">
        <v>-0.20300000000000001</v>
      </c>
      <c r="V43" s="7">
        <v>695347</v>
      </c>
      <c r="W43" s="6">
        <v>1.4999999999999999E-2</v>
      </c>
      <c r="X43" s="6">
        <v>0.01</v>
      </c>
      <c r="Y43" s="6">
        <v>0.73199999999999998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5"/>
      <c r="AG43" s="5"/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7">
        <v>0</v>
      </c>
    </row>
    <row r="45" spans="1:39" x14ac:dyDescent="0.25">
      <c r="A45" t="s">
        <v>76</v>
      </c>
      <c r="B45" t="s">
        <v>76</v>
      </c>
      <c r="C45" t="s">
        <v>76</v>
      </c>
    </row>
    <row r="46" spans="1:39" x14ac:dyDescent="0.25">
      <c r="A46" s="9" t="s">
        <v>103</v>
      </c>
      <c r="B46" s="9" t="s">
        <v>102</v>
      </c>
    </row>
  </sheetData>
  <mergeCells count="18">
    <mergeCell ref="B33:B34"/>
    <mergeCell ref="B40:B41"/>
    <mergeCell ref="C19:C20"/>
    <mergeCell ref="A4:AM4"/>
    <mergeCell ref="A5:AM5"/>
    <mergeCell ref="A7:A25"/>
    <mergeCell ref="A26:A42"/>
    <mergeCell ref="B7:B9"/>
    <mergeCell ref="B10:B11"/>
    <mergeCell ref="B12:B13"/>
    <mergeCell ref="B14:B15"/>
    <mergeCell ref="B35:B36"/>
    <mergeCell ref="B37:B39"/>
    <mergeCell ref="B16:B22"/>
    <mergeCell ref="B23:B24"/>
    <mergeCell ref="B26:B27"/>
    <mergeCell ref="B28:B29"/>
    <mergeCell ref="B30:B32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4623-933A-4BF2-B85A-30E0C86E8B34}">
  <dimension ref="A4:AL45"/>
  <sheetViews>
    <sheetView topLeftCell="X37" workbookViewId="0">
      <selection activeCell="B16" sqref="B16:B22"/>
    </sheetView>
  </sheetViews>
  <sheetFormatPr baseColWidth="10" defaultRowHeight="15" x14ac:dyDescent="0.25"/>
  <sheetData>
    <row r="4" spans="1:38" x14ac:dyDescent="0.25">
      <c r="A4" s="10" t="s">
        <v>100</v>
      </c>
      <c r="B4" s="10" t="s">
        <v>100</v>
      </c>
      <c r="C4" s="10" t="s">
        <v>100</v>
      </c>
      <c r="D4" s="10" t="s">
        <v>100</v>
      </c>
      <c r="E4" s="10" t="s">
        <v>100</v>
      </c>
      <c r="F4" s="10" t="s">
        <v>100</v>
      </c>
      <c r="G4" s="10" t="s">
        <v>100</v>
      </c>
      <c r="H4" s="10" t="s">
        <v>100</v>
      </c>
      <c r="I4" s="10" t="s">
        <v>100</v>
      </c>
      <c r="J4" s="10" t="s">
        <v>100</v>
      </c>
      <c r="K4" s="10" t="s">
        <v>100</v>
      </c>
      <c r="L4" s="10" t="s">
        <v>100</v>
      </c>
      <c r="M4" s="10" t="s">
        <v>100</v>
      </c>
      <c r="N4" s="10" t="s">
        <v>100</v>
      </c>
      <c r="O4" s="10" t="s">
        <v>100</v>
      </c>
      <c r="P4" s="10" t="s">
        <v>100</v>
      </c>
      <c r="Q4" s="10" t="s">
        <v>100</v>
      </c>
      <c r="R4" s="10" t="s">
        <v>100</v>
      </c>
      <c r="S4" s="10" t="s">
        <v>100</v>
      </c>
      <c r="T4" s="10" t="s">
        <v>100</v>
      </c>
      <c r="U4" s="10" t="s">
        <v>100</v>
      </c>
      <c r="V4" s="10" t="s">
        <v>100</v>
      </c>
      <c r="W4" s="10" t="s">
        <v>100</v>
      </c>
      <c r="X4" s="10" t="s">
        <v>100</v>
      </c>
      <c r="Y4" s="10" t="s">
        <v>100</v>
      </c>
      <c r="Z4" s="10" t="s">
        <v>100</v>
      </c>
      <c r="AA4" s="10" t="s">
        <v>100</v>
      </c>
      <c r="AB4" s="10" t="s">
        <v>100</v>
      </c>
      <c r="AC4" s="10" t="s">
        <v>100</v>
      </c>
      <c r="AD4" s="10" t="s">
        <v>100</v>
      </c>
      <c r="AE4" s="10" t="s">
        <v>100</v>
      </c>
      <c r="AF4" s="10" t="s">
        <v>100</v>
      </c>
      <c r="AG4" s="10" t="s">
        <v>100</v>
      </c>
      <c r="AH4" s="10" t="s">
        <v>100</v>
      </c>
      <c r="AI4" s="10" t="s">
        <v>100</v>
      </c>
      <c r="AJ4" s="10" t="s">
        <v>100</v>
      </c>
      <c r="AK4" s="10" t="s">
        <v>100</v>
      </c>
      <c r="AL4" s="10" t="s">
        <v>100</v>
      </c>
    </row>
    <row r="5" spans="1:38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 t="s">
        <v>1</v>
      </c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92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0.91800000000000004</v>
      </c>
      <c r="F7" s="3">
        <v>4.4999999999999998E-2</v>
      </c>
      <c r="G7" s="3">
        <v>0.36</v>
      </c>
      <c r="H7" s="3">
        <v>0.314</v>
      </c>
      <c r="I7" s="4">
        <v>4</v>
      </c>
      <c r="J7" s="8"/>
      <c r="K7" s="4">
        <v>25</v>
      </c>
      <c r="L7" s="4">
        <v>3</v>
      </c>
      <c r="M7" s="4">
        <v>1829</v>
      </c>
      <c r="N7" s="4">
        <v>1431</v>
      </c>
      <c r="O7" s="3">
        <v>0.27800000000000002</v>
      </c>
      <c r="P7" s="4">
        <v>516</v>
      </c>
      <c r="Q7" s="4">
        <v>0</v>
      </c>
      <c r="R7" s="8"/>
      <c r="S7" s="4">
        <v>128.97</v>
      </c>
      <c r="T7" s="8"/>
      <c r="U7" s="4">
        <v>1586</v>
      </c>
      <c r="V7" s="3">
        <v>-3.6999999999999998E-2</v>
      </c>
      <c r="W7" s="3">
        <v>2.8000000000000001E-2</v>
      </c>
      <c r="X7" s="3">
        <v>0</v>
      </c>
      <c r="Y7" s="3">
        <v>0.21099999999999999</v>
      </c>
      <c r="Z7" s="3">
        <v>0.21099999999999999</v>
      </c>
      <c r="AA7" s="3">
        <v>0</v>
      </c>
      <c r="AB7" s="3">
        <v>0.21099999999999999</v>
      </c>
      <c r="AC7" s="3">
        <v>0.21099999999999999</v>
      </c>
      <c r="AD7" s="3">
        <v>0</v>
      </c>
      <c r="AE7" s="3">
        <v>0</v>
      </c>
      <c r="AF7" s="8"/>
      <c r="AG7" s="8"/>
      <c r="AH7" s="3">
        <v>0.42499999999999999</v>
      </c>
      <c r="AI7" s="3">
        <v>0.43</v>
      </c>
      <c r="AJ7" s="3">
        <v>-5.0000000000000001E-3</v>
      </c>
      <c r="AK7" s="3">
        <v>0.59309999999999996</v>
      </c>
      <c r="AL7" s="4">
        <v>645</v>
      </c>
    </row>
    <row r="8" spans="1:38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1.0209999999999999</v>
      </c>
      <c r="F8" s="3">
        <v>0.02</v>
      </c>
      <c r="G8" s="3">
        <v>0</v>
      </c>
      <c r="H8" s="3">
        <v>0</v>
      </c>
      <c r="I8" s="4">
        <v>0</v>
      </c>
      <c r="J8" s="3">
        <v>-1</v>
      </c>
      <c r="K8" s="4">
        <v>48</v>
      </c>
      <c r="L8" s="4">
        <v>-1</v>
      </c>
      <c r="M8" s="4">
        <v>4758</v>
      </c>
      <c r="N8" s="4">
        <v>4661</v>
      </c>
      <c r="O8" s="3">
        <v>2.1000000000000001E-2</v>
      </c>
      <c r="P8" s="4">
        <v>0</v>
      </c>
      <c r="Q8" s="4">
        <v>333</v>
      </c>
      <c r="R8" s="3">
        <v>-1</v>
      </c>
      <c r="S8" s="8"/>
      <c r="T8" s="8"/>
      <c r="U8" s="4">
        <v>3550</v>
      </c>
      <c r="V8" s="3">
        <v>9.9000000000000005E-2</v>
      </c>
      <c r="W8" s="3">
        <v>0.03</v>
      </c>
      <c r="X8" s="3">
        <v>0</v>
      </c>
      <c r="Y8" s="3">
        <v>-2.5000000000000001E-2</v>
      </c>
      <c r="Z8" s="3">
        <v>-2.5000000000000001E-2</v>
      </c>
      <c r="AA8" s="3">
        <v>0</v>
      </c>
      <c r="AB8" s="3">
        <v>-2.5000000000000001E-2</v>
      </c>
      <c r="AC8" s="3">
        <v>-2.5000000000000001E-2</v>
      </c>
      <c r="AD8" s="3">
        <v>0</v>
      </c>
      <c r="AE8" s="8"/>
      <c r="AF8" s="3">
        <v>0</v>
      </c>
      <c r="AG8" s="8"/>
      <c r="AH8" s="3">
        <v>0.23699999999999999</v>
      </c>
      <c r="AI8" s="3">
        <v>0.25</v>
      </c>
      <c r="AJ8" s="3">
        <v>-1.2999999999999999E-2</v>
      </c>
      <c r="AK8" s="3">
        <v>0.5857</v>
      </c>
      <c r="AL8" s="4">
        <v>1471</v>
      </c>
    </row>
    <row r="9" spans="1:38" x14ac:dyDescent="0.25">
      <c r="A9" s="12" t="s">
        <v>37</v>
      </c>
      <c r="B9" s="12" t="s">
        <v>38</v>
      </c>
      <c r="C9" s="5" t="s">
        <v>42</v>
      </c>
      <c r="D9" s="5"/>
      <c r="E9" s="6">
        <v>0.997</v>
      </c>
      <c r="F9" s="6">
        <v>2.8000000000000001E-2</v>
      </c>
      <c r="G9" s="6">
        <v>8.5000000000000006E-2</v>
      </c>
      <c r="H9" s="6">
        <v>7.3999999999999996E-2</v>
      </c>
      <c r="I9" s="7">
        <v>4</v>
      </c>
      <c r="J9" s="6">
        <v>1</v>
      </c>
      <c r="K9" s="7">
        <v>73</v>
      </c>
      <c r="L9" s="7">
        <v>2</v>
      </c>
      <c r="M9" s="7">
        <v>6587</v>
      </c>
      <c r="N9" s="7">
        <v>6092</v>
      </c>
      <c r="O9" s="6">
        <v>8.1000000000000003E-2</v>
      </c>
      <c r="P9" s="7">
        <v>516</v>
      </c>
      <c r="Q9" s="7">
        <v>333</v>
      </c>
      <c r="R9" s="6">
        <v>0.54800000000000004</v>
      </c>
      <c r="S9" s="7">
        <v>128.97</v>
      </c>
      <c r="T9" s="6">
        <v>-0.22600000000000001</v>
      </c>
      <c r="U9" s="7">
        <v>5136</v>
      </c>
      <c r="V9" s="6">
        <v>5.2999999999999999E-2</v>
      </c>
      <c r="W9" s="6">
        <v>0.03</v>
      </c>
      <c r="X9" s="6">
        <v>0</v>
      </c>
      <c r="Y9" s="6">
        <v>4.8000000000000001E-2</v>
      </c>
      <c r="Z9" s="6">
        <v>5.5E-2</v>
      </c>
      <c r="AA9" s="6">
        <v>-7.0000000000000001E-3</v>
      </c>
      <c r="AB9" s="6">
        <v>4.8000000000000001E-2</v>
      </c>
      <c r="AC9" s="6">
        <v>5.5E-2</v>
      </c>
      <c r="AD9" s="6">
        <v>-7.0000000000000001E-3</v>
      </c>
      <c r="AE9" s="6">
        <v>0</v>
      </c>
      <c r="AF9" s="6">
        <v>0</v>
      </c>
      <c r="AG9" s="6">
        <v>0</v>
      </c>
      <c r="AH9" s="6">
        <v>0.29499999999999998</v>
      </c>
      <c r="AI9" s="6">
        <v>0.311</v>
      </c>
      <c r="AJ9" s="6">
        <v>-1.6E-2</v>
      </c>
      <c r="AK9" s="6">
        <v>0.58799999999999997</v>
      </c>
      <c r="AL9" s="7">
        <v>2116</v>
      </c>
    </row>
    <row r="10" spans="1:38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0.94199999999999995</v>
      </c>
      <c r="F10" s="3">
        <v>5.6000000000000001E-2</v>
      </c>
      <c r="G10" s="3">
        <v>0.12</v>
      </c>
      <c r="H10" s="3">
        <v>8.5999999999999993E-2</v>
      </c>
      <c r="I10" s="4">
        <v>208</v>
      </c>
      <c r="J10" s="3">
        <v>0.38700000000000001</v>
      </c>
      <c r="K10" s="4">
        <v>2581</v>
      </c>
      <c r="L10" s="4">
        <v>66</v>
      </c>
      <c r="M10" s="4">
        <v>462579</v>
      </c>
      <c r="N10" s="4">
        <v>435426</v>
      </c>
      <c r="O10" s="3">
        <v>6.2E-2</v>
      </c>
      <c r="P10" s="4">
        <v>52215</v>
      </c>
      <c r="Q10" s="4">
        <v>49695</v>
      </c>
      <c r="R10" s="3">
        <v>5.0999999999999997E-2</v>
      </c>
      <c r="S10" s="4">
        <v>255.87</v>
      </c>
      <c r="T10" s="3">
        <v>-0.27100000000000002</v>
      </c>
      <c r="U10" s="4">
        <v>375514</v>
      </c>
      <c r="V10" s="3">
        <v>2.5000000000000001E-2</v>
      </c>
      <c r="W10" s="3">
        <v>6.0000000000000001E-3</v>
      </c>
      <c r="X10" s="3">
        <v>0.79300000000000004</v>
      </c>
      <c r="Y10" s="3">
        <v>0.80800000000000005</v>
      </c>
      <c r="Z10" s="3">
        <v>0.61299999999999999</v>
      </c>
      <c r="AA10" s="3">
        <v>0.19500000000000001</v>
      </c>
      <c r="AB10" s="3">
        <v>0.80800000000000005</v>
      </c>
      <c r="AC10" s="3">
        <v>0.61299999999999999</v>
      </c>
      <c r="AD10" s="3">
        <v>0.19500000000000001</v>
      </c>
      <c r="AE10" s="3">
        <v>1.6140000000000001</v>
      </c>
      <c r="AF10" s="3">
        <v>0.64300000000000002</v>
      </c>
      <c r="AG10" s="3">
        <v>0.97099999999999997</v>
      </c>
      <c r="AH10" s="3">
        <v>0.89400000000000002</v>
      </c>
      <c r="AI10" s="3">
        <v>0.69899999999999995</v>
      </c>
      <c r="AJ10" s="3">
        <v>0.19500000000000001</v>
      </c>
      <c r="AK10" s="3">
        <v>1.0637000000000001</v>
      </c>
      <c r="AL10" s="4">
        <v>-23915</v>
      </c>
    </row>
    <row r="11" spans="1:38" x14ac:dyDescent="0.25">
      <c r="A11" s="12" t="s">
        <v>37</v>
      </c>
      <c r="B11" s="12" t="s">
        <v>43</v>
      </c>
      <c r="C11" s="5" t="s">
        <v>42</v>
      </c>
      <c r="D11" s="5"/>
      <c r="E11" s="6">
        <v>0.94199999999999995</v>
      </c>
      <c r="F11" s="6">
        <v>5.6000000000000001E-2</v>
      </c>
      <c r="G11" s="6">
        <v>0.12</v>
      </c>
      <c r="H11" s="6">
        <v>8.5999999999999993E-2</v>
      </c>
      <c r="I11" s="7">
        <v>208</v>
      </c>
      <c r="J11" s="6">
        <v>0.38700000000000001</v>
      </c>
      <c r="K11" s="7">
        <v>2581</v>
      </c>
      <c r="L11" s="7">
        <v>66</v>
      </c>
      <c r="M11" s="7">
        <v>462579</v>
      </c>
      <c r="N11" s="7">
        <v>435426</v>
      </c>
      <c r="O11" s="6">
        <v>6.2E-2</v>
      </c>
      <c r="P11" s="7">
        <v>52215</v>
      </c>
      <c r="Q11" s="7">
        <v>49695</v>
      </c>
      <c r="R11" s="6">
        <v>5.0999999999999997E-2</v>
      </c>
      <c r="S11" s="7">
        <v>255.87</v>
      </c>
      <c r="T11" s="6">
        <v>-0.27100000000000002</v>
      </c>
      <c r="U11" s="7">
        <v>375514</v>
      </c>
      <c r="V11" s="6">
        <v>2.5000000000000001E-2</v>
      </c>
      <c r="W11" s="6">
        <v>6.0000000000000001E-3</v>
      </c>
      <c r="X11" s="6">
        <v>0.79300000000000004</v>
      </c>
      <c r="Y11" s="6">
        <v>0.80800000000000005</v>
      </c>
      <c r="Z11" s="6">
        <v>0.61299999999999999</v>
      </c>
      <c r="AA11" s="6">
        <v>0.19500000000000001</v>
      </c>
      <c r="AB11" s="6">
        <v>0.80800000000000005</v>
      </c>
      <c r="AC11" s="6">
        <v>0.61299999999999999</v>
      </c>
      <c r="AD11" s="6">
        <v>0.19500000000000001</v>
      </c>
      <c r="AE11" s="6">
        <v>1.6140000000000001</v>
      </c>
      <c r="AF11" s="6">
        <v>0.64300000000000002</v>
      </c>
      <c r="AG11" s="6">
        <v>0.97099999999999997</v>
      </c>
      <c r="AH11" s="6">
        <v>0.89400000000000002</v>
      </c>
      <c r="AI11" s="6">
        <v>0.69899999999999995</v>
      </c>
      <c r="AJ11" s="6">
        <v>0.19500000000000001</v>
      </c>
      <c r="AK11" s="6">
        <v>1.0637000000000001</v>
      </c>
      <c r="AL11" s="7">
        <v>-23915</v>
      </c>
    </row>
    <row r="12" spans="1:38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0.93700000000000006</v>
      </c>
      <c r="F12" s="3">
        <v>4.2999999999999997E-2</v>
      </c>
      <c r="G12" s="3">
        <v>8.8999999999999996E-2</v>
      </c>
      <c r="H12" s="3">
        <v>5.6000000000000001E-2</v>
      </c>
      <c r="I12" s="4">
        <v>32</v>
      </c>
      <c r="J12" s="3">
        <v>-0.17899999999999999</v>
      </c>
      <c r="K12" s="4">
        <v>751</v>
      </c>
      <c r="L12" s="4">
        <v>0</v>
      </c>
      <c r="M12" s="4">
        <v>66464</v>
      </c>
      <c r="N12" s="4">
        <v>64753</v>
      </c>
      <c r="O12" s="3">
        <v>2.5999999999999999E-2</v>
      </c>
      <c r="P12" s="4">
        <v>5790</v>
      </c>
      <c r="Q12" s="4">
        <v>7288</v>
      </c>
      <c r="R12" s="3">
        <v>-0.20499999999999999</v>
      </c>
      <c r="S12" s="4">
        <v>180.95</v>
      </c>
      <c r="T12" s="3">
        <v>-3.2000000000000001E-2</v>
      </c>
      <c r="U12" s="4">
        <v>65557</v>
      </c>
      <c r="V12" s="3">
        <v>0.04</v>
      </c>
      <c r="W12" s="3">
        <v>4.0000000000000001E-3</v>
      </c>
      <c r="X12" s="3">
        <v>0.45500000000000002</v>
      </c>
      <c r="Y12" s="3">
        <v>0.54600000000000004</v>
      </c>
      <c r="Z12" s="3">
        <v>0.70799999999999996</v>
      </c>
      <c r="AA12" s="3">
        <v>-0.16200000000000001</v>
      </c>
      <c r="AB12" s="3">
        <v>0.54600000000000004</v>
      </c>
      <c r="AC12" s="3">
        <v>0.69499999999999995</v>
      </c>
      <c r="AD12" s="3">
        <v>-0.15</v>
      </c>
      <c r="AE12" s="3">
        <v>0.70299999999999996</v>
      </c>
      <c r="AF12" s="3">
        <v>0.71299999999999997</v>
      </c>
      <c r="AG12" s="3">
        <v>-0.01</v>
      </c>
      <c r="AH12" s="3">
        <v>0.76700000000000002</v>
      </c>
      <c r="AI12" s="3">
        <v>0.92900000000000005</v>
      </c>
      <c r="AJ12" s="3">
        <v>-0.16200000000000001</v>
      </c>
      <c r="AK12" s="3">
        <v>0.93640000000000001</v>
      </c>
      <c r="AL12" s="4">
        <v>4168</v>
      </c>
    </row>
    <row r="13" spans="1:38" x14ac:dyDescent="0.25">
      <c r="A13" s="12" t="s">
        <v>37</v>
      </c>
      <c r="B13" s="12" t="s">
        <v>45</v>
      </c>
      <c r="C13" s="5" t="s">
        <v>42</v>
      </c>
      <c r="D13" s="5"/>
      <c r="E13" s="6">
        <v>0.93700000000000006</v>
      </c>
      <c r="F13" s="6">
        <v>4.2999999999999997E-2</v>
      </c>
      <c r="G13" s="6">
        <v>8.8999999999999996E-2</v>
      </c>
      <c r="H13" s="6">
        <v>5.6000000000000001E-2</v>
      </c>
      <c r="I13" s="7">
        <v>32</v>
      </c>
      <c r="J13" s="6">
        <v>-0.17899999999999999</v>
      </c>
      <c r="K13" s="7">
        <v>751</v>
      </c>
      <c r="L13" s="7">
        <v>0</v>
      </c>
      <c r="M13" s="7">
        <v>66464</v>
      </c>
      <c r="N13" s="7">
        <v>64753</v>
      </c>
      <c r="O13" s="6">
        <v>2.5999999999999999E-2</v>
      </c>
      <c r="P13" s="7">
        <v>5790</v>
      </c>
      <c r="Q13" s="7">
        <v>7288</v>
      </c>
      <c r="R13" s="6">
        <v>-0.20499999999999999</v>
      </c>
      <c r="S13" s="7">
        <v>180.95</v>
      </c>
      <c r="T13" s="6">
        <v>-3.2000000000000001E-2</v>
      </c>
      <c r="U13" s="7">
        <v>65557</v>
      </c>
      <c r="V13" s="6">
        <v>0.04</v>
      </c>
      <c r="W13" s="6">
        <v>4.0000000000000001E-3</v>
      </c>
      <c r="X13" s="6">
        <v>0.45500000000000002</v>
      </c>
      <c r="Y13" s="6">
        <v>0.54600000000000004</v>
      </c>
      <c r="Z13" s="6">
        <v>0.70799999999999996</v>
      </c>
      <c r="AA13" s="6">
        <v>-0.16200000000000001</v>
      </c>
      <c r="AB13" s="6">
        <v>0.54600000000000004</v>
      </c>
      <c r="AC13" s="6">
        <v>0.69499999999999995</v>
      </c>
      <c r="AD13" s="6">
        <v>-0.15</v>
      </c>
      <c r="AE13" s="6">
        <v>0.70299999999999996</v>
      </c>
      <c r="AF13" s="6">
        <v>0.71299999999999997</v>
      </c>
      <c r="AG13" s="6">
        <v>-0.01</v>
      </c>
      <c r="AH13" s="6">
        <v>0.76700000000000002</v>
      </c>
      <c r="AI13" s="6">
        <v>0.92900000000000005</v>
      </c>
      <c r="AJ13" s="6">
        <v>-0.16200000000000001</v>
      </c>
      <c r="AK13" s="6">
        <v>0.93640000000000001</v>
      </c>
      <c r="AL13" s="7">
        <v>4168</v>
      </c>
    </row>
    <row r="14" spans="1:38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1.0029999999999999</v>
      </c>
      <c r="F14" s="3">
        <v>4.2000000000000003E-2</v>
      </c>
      <c r="G14" s="3">
        <v>0</v>
      </c>
      <c r="H14" s="3">
        <v>0</v>
      </c>
      <c r="I14" s="4">
        <v>0</v>
      </c>
      <c r="J14" s="3">
        <v>-1</v>
      </c>
      <c r="K14" s="4">
        <v>23</v>
      </c>
      <c r="L14" s="4">
        <v>-1</v>
      </c>
      <c r="M14" s="4">
        <v>5114</v>
      </c>
      <c r="N14" s="4">
        <v>5101</v>
      </c>
      <c r="O14" s="3">
        <v>3.0000000000000001E-3</v>
      </c>
      <c r="P14" s="4">
        <v>0</v>
      </c>
      <c r="Q14" s="4">
        <v>999</v>
      </c>
      <c r="R14" s="3">
        <v>-1</v>
      </c>
      <c r="S14" s="8"/>
      <c r="T14" s="8"/>
      <c r="U14" s="4">
        <v>7198</v>
      </c>
      <c r="V14" s="3">
        <v>3.2000000000000001E-2</v>
      </c>
      <c r="W14" s="3">
        <v>0</v>
      </c>
      <c r="X14" s="3">
        <v>1.0429999999999999</v>
      </c>
      <c r="Y14" s="3">
        <v>1.175</v>
      </c>
      <c r="Z14" s="3">
        <v>0.69399999999999995</v>
      </c>
      <c r="AA14" s="3">
        <v>0.48099999999999998</v>
      </c>
      <c r="AB14" s="3">
        <v>1.175</v>
      </c>
      <c r="AC14" s="3">
        <v>0.69399999999999995</v>
      </c>
      <c r="AD14" s="3">
        <v>0.48099999999999998</v>
      </c>
      <c r="AE14" s="8"/>
      <c r="AF14" s="3">
        <v>0</v>
      </c>
      <c r="AG14" s="8"/>
      <c r="AH14" s="3">
        <v>1.375</v>
      </c>
      <c r="AI14" s="3">
        <v>0.89400000000000002</v>
      </c>
      <c r="AJ14" s="3">
        <v>0.48099999999999998</v>
      </c>
      <c r="AK14" s="3">
        <v>1.5668</v>
      </c>
      <c r="AL14" s="4">
        <v>-4079</v>
      </c>
    </row>
    <row r="15" spans="1:38" x14ac:dyDescent="0.25">
      <c r="A15" s="12" t="s">
        <v>37</v>
      </c>
      <c r="B15" s="12" t="s">
        <v>46</v>
      </c>
      <c r="C15" s="5" t="s">
        <v>42</v>
      </c>
      <c r="D15" s="5"/>
      <c r="E15" s="6">
        <v>1.0029999999999999</v>
      </c>
      <c r="F15" s="6">
        <v>4.2000000000000003E-2</v>
      </c>
      <c r="G15" s="6">
        <v>0</v>
      </c>
      <c r="H15" s="6">
        <v>0</v>
      </c>
      <c r="I15" s="7">
        <v>0</v>
      </c>
      <c r="J15" s="6">
        <v>-1</v>
      </c>
      <c r="K15" s="7">
        <v>23</v>
      </c>
      <c r="L15" s="7">
        <v>-1</v>
      </c>
      <c r="M15" s="7">
        <v>5114</v>
      </c>
      <c r="N15" s="7">
        <v>5101</v>
      </c>
      <c r="O15" s="6">
        <v>3.0000000000000001E-3</v>
      </c>
      <c r="P15" s="7">
        <v>0</v>
      </c>
      <c r="Q15" s="7">
        <v>999</v>
      </c>
      <c r="R15" s="6">
        <v>-1</v>
      </c>
      <c r="S15" s="5"/>
      <c r="T15" s="5"/>
      <c r="U15" s="7">
        <v>7198</v>
      </c>
      <c r="V15" s="6">
        <v>3.2000000000000001E-2</v>
      </c>
      <c r="W15" s="6">
        <v>0</v>
      </c>
      <c r="X15" s="6">
        <v>1.0429999999999999</v>
      </c>
      <c r="Y15" s="6">
        <v>1.175</v>
      </c>
      <c r="Z15" s="6">
        <v>0.69399999999999995</v>
      </c>
      <c r="AA15" s="6">
        <v>0.48099999999999998</v>
      </c>
      <c r="AB15" s="6">
        <v>1.175</v>
      </c>
      <c r="AC15" s="6">
        <v>0.69399999999999995</v>
      </c>
      <c r="AD15" s="6">
        <v>0.48099999999999998</v>
      </c>
      <c r="AE15" s="5"/>
      <c r="AF15" s="6">
        <v>0</v>
      </c>
      <c r="AG15" s="5"/>
      <c r="AH15" s="6">
        <v>1.375</v>
      </c>
      <c r="AI15" s="6">
        <v>0.89400000000000002</v>
      </c>
      <c r="AJ15" s="6">
        <v>0.48099999999999998</v>
      </c>
      <c r="AK15" s="6">
        <v>1.5668</v>
      </c>
      <c r="AL15" s="7">
        <v>-4079</v>
      </c>
    </row>
    <row r="16" spans="1:38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4</v>
      </c>
      <c r="G16" s="3">
        <v>0.32300000000000001</v>
      </c>
      <c r="H16" s="3">
        <v>0.11600000000000001</v>
      </c>
      <c r="I16" s="4">
        <v>4</v>
      </c>
      <c r="J16" s="3">
        <v>-0.2</v>
      </c>
      <c r="K16" s="4">
        <v>1</v>
      </c>
      <c r="L16" s="4">
        <v>0</v>
      </c>
      <c r="M16" s="4">
        <v>357</v>
      </c>
      <c r="N16" s="4">
        <v>1106</v>
      </c>
      <c r="O16" s="3">
        <v>-0.67700000000000005</v>
      </c>
      <c r="P16" s="4">
        <v>357</v>
      </c>
      <c r="Q16" s="4">
        <v>1106</v>
      </c>
      <c r="R16" s="3">
        <v>-0.67700000000000005</v>
      </c>
      <c r="S16" s="4">
        <v>1630.45</v>
      </c>
      <c r="T16" s="3">
        <v>-0.14299999999999999</v>
      </c>
      <c r="U16" s="4">
        <v>492</v>
      </c>
      <c r="V16" s="3">
        <v>-0.4</v>
      </c>
      <c r="W16" s="3">
        <v>0</v>
      </c>
      <c r="X16" s="3">
        <v>0</v>
      </c>
      <c r="Y16" s="3">
        <v>-6.0999999999999999E-2</v>
      </c>
      <c r="Z16" s="3">
        <v>0.48799999999999999</v>
      </c>
      <c r="AA16" s="3">
        <v>-0.54900000000000004</v>
      </c>
      <c r="AB16" s="3">
        <v>-6.0999999999999999E-2</v>
      </c>
      <c r="AC16" s="3">
        <v>0.48799999999999999</v>
      </c>
      <c r="AD16" s="3">
        <v>-0.54900000000000004</v>
      </c>
      <c r="AE16" s="3">
        <v>0</v>
      </c>
      <c r="AF16" s="3">
        <v>0.57299999999999995</v>
      </c>
      <c r="AG16" s="3">
        <v>-0.57299999999999995</v>
      </c>
      <c r="AH16" s="3">
        <v>8.8999999999999996E-2</v>
      </c>
      <c r="AI16" s="3">
        <v>0.63800000000000001</v>
      </c>
      <c r="AJ16" s="3">
        <v>-0.54900000000000004</v>
      </c>
      <c r="AK16" s="3">
        <v>0.38590000000000002</v>
      </c>
      <c r="AL16" s="4">
        <v>302</v>
      </c>
    </row>
    <row r="17" spans="1:38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0.77800000000000002</v>
      </c>
      <c r="F17" s="3">
        <v>0.25</v>
      </c>
      <c r="G17" s="3">
        <v>0</v>
      </c>
      <c r="H17" s="3">
        <v>0</v>
      </c>
      <c r="I17" s="4">
        <v>0</v>
      </c>
      <c r="J17" s="3">
        <v>-1</v>
      </c>
      <c r="K17" s="4">
        <v>6</v>
      </c>
      <c r="L17" s="4">
        <v>-2</v>
      </c>
      <c r="M17" s="4">
        <v>675</v>
      </c>
      <c r="N17" s="4">
        <v>868</v>
      </c>
      <c r="O17" s="3">
        <v>-0.222</v>
      </c>
      <c r="P17" s="4">
        <v>0</v>
      </c>
      <c r="Q17" s="4">
        <v>98</v>
      </c>
      <c r="R17" s="3">
        <v>-1</v>
      </c>
      <c r="S17" s="8"/>
      <c r="T17" s="8"/>
      <c r="U17" s="4">
        <v>417</v>
      </c>
      <c r="V17" s="3">
        <v>-0.02</v>
      </c>
      <c r="W17" s="3">
        <v>0.23400000000000001</v>
      </c>
      <c r="X17" s="3">
        <v>0</v>
      </c>
      <c r="Y17" s="3">
        <v>0.27400000000000002</v>
      </c>
      <c r="Z17" s="3">
        <v>0.27400000000000002</v>
      </c>
      <c r="AA17" s="3">
        <v>0</v>
      </c>
      <c r="AB17" s="3">
        <v>0.27400000000000002</v>
      </c>
      <c r="AC17" s="3">
        <v>0.27400000000000002</v>
      </c>
      <c r="AD17" s="3">
        <v>0</v>
      </c>
      <c r="AE17" s="8"/>
      <c r="AF17" s="3">
        <v>0</v>
      </c>
      <c r="AG17" s="8"/>
      <c r="AH17" s="3">
        <v>0.42399999999999999</v>
      </c>
      <c r="AI17" s="3">
        <v>0.42399999999999999</v>
      </c>
      <c r="AJ17" s="3">
        <v>0</v>
      </c>
      <c r="AK17" s="3">
        <v>0.60740000000000005</v>
      </c>
      <c r="AL17" s="4">
        <v>164</v>
      </c>
    </row>
    <row r="18" spans="1:38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1.05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5</v>
      </c>
      <c r="L18" s="4">
        <v>0</v>
      </c>
      <c r="M18" s="4">
        <v>68</v>
      </c>
      <c r="N18" s="4">
        <v>65</v>
      </c>
      <c r="O18" s="3">
        <v>0.05</v>
      </c>
      <c r="P18" s="4">
        <v>0</v>
      </c>
      <c r="Q18" s="4">
        <v>0</v>
      </c>
      <c r="R18" s="8"/>
      <c r="S18" s="8"/>
      <c r="T18" s="8"/>
      <c r="U18" s="4">
        <v>153</v>
      </c>
      <c r="V18" s="3">
        <v>-4.2000000000000003E-2</v>
      </c>
      <c r="W18" s="3">
        <v>0</v>
      </c>
      <c r="X18" s="3">
        <v>0</v>
      </c>
      <c r="Y18" s="3">
        <v>-0.28000000000000003</v>
      </c>
      <c r="Z18" s="3">
        <v>-0.28000000000000003</v>
      </c>
      <c r="AA18" s="3">
        <v>0</v>
      </c>
      <c r="AB18" s="3">
        <v>-0.28000000000000003</v>
      </c>
      <c r="AC18" s="3">
        <v>-0.28000000000000003</v>
      </c>
      <c r="AD18" s="3">
        <v>0</v>
      </c>
      <c r="AE18" s="8"/>
      <c r="AF18" s="8"/>
      <c r="AG18" s="8"/>
      <c r="AH18" s="3">
        <v>-7.5999999999999998E-2</v>
      </c>
      <c r="AI18" s="3">
        <v>-7.1999999999999995E-2</v>
      </c>
      <c r="AJ18" s="3">
        <v>-4.0000000000000001E-3</v>
      </c>
      <c r="AK18" s="3">
        <v>0.23069999999999999</v>
      </c>
      <c r="AL18" s="4">
        <v>118</v>
      </c>
    </row>
    <row r="19" spans="1:38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1.0449999999999999</v>
      </c>
      <c r="F19" s="3">
        <v>1.7999999999999999E-2</v>
      </c>
      <c r="G19" s="3">
        <v>0.16900000000000001</v>
      </c>
      <c r="H19" s="3">
        <v>0.16900000000000001</v>
      </c>
      <c r="I19" s="4">
        <v>1</v>
      </c>
      <c r="J19" s="3">
        <v>-0.5</v>
      </c>
      <c r="K19" s="4">
        <v>109</v>
      </c>
      <c r="L19" s="4">
        <v>-1</v>
      </c>
      <c r="M19" s="4">
        <v>108</v>
      </c>
      <c r="N19" s="4">
        <v>89</v>
      </c>
      <c r="O19" s="3">
        <v>0.214</v>
      </c>
      <c r="P19" s="4">
        <v>15</v>
      </c>
      <c r="Q19" s="4">
        <v>30</v>
      </c>
      <c r="R19" s="3">
        <v>-0.496</v>
      </c>
      <c r="S19" s="4">
        <v>15.07</v>
      </c>
      <c r="T19" s="3">
        <v>8.0000000000000002E-3</v>
      </c>
      <c r="U19" s="4">
        <v>858</v>
      </c>
      <c r="V19" s="3">
        <v>-2.8000000000000001E-2</v>
      </c>
      <c r="W19" s="3">
        <v>5.0000000000000001E-3</v>
      </c>
      <c r="X19" s="3">
        <v>0</v>
      </c>
      <c r="Y19" s="3">
        <v>7.0000000000000007E-2</v>
      </c>
      <c r="Z19" s="3">
        <v>7.0000000000000007E-2</v>
      </c>
      <c r="AA19" s="3">
        <v>0</v>
      </c>
      <c r="AB19" s="3">
        <v>7.0000000000000007E-2</v>
      </c>
      <c r="AC19" s="3">
        <v>7.0000000000000007E-2</v>
      </c>
      <c r="AD19" s="3">
        <v>0</v>
      </c>
      <c r="AE19" s="3">
        <v>0</v>
      </c>
      <c r="AF19" s="3">
        <v>0</v>
      </c>
      <c r="AG19" s="3">
        <v>0</v>
      </c>
      <c r="AH19" s="3">
        <v>0.312</v>
      </c>
      <c r="AI19" s="3">
        <v>0.313</v>
      </c>
      <c r="AJ19" s="3">
        <v>-1E-3</v>
      </c>
      <c r="AK19" s="3">
        <v>0.47039999999999998</v>
      </c>
      <c r="AL19" s="4">
        <v>455</v>
      </c>
    </row>
    <row r="20" spans="1:38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0.89500000000000002</v>
      </c>
      <c r="F20" s="3">
        <v>5.6000000000000001E-2</v>
      </c>
      <c r="G20" s="3">
        <v>0.71199999999999997</v>
      </c>
      <c r="H20" s="3">
        <v>0.66600000000000004</v>
      </c>
      <c r="I20" s="4">
        <v>5</v>
      </c>
      <c r="J20" s="3">
        <v>0.25</v>
      </c>
      <c r="K20" s="4">
        <v>39</v>
      </c>
      <c r="L20" s="4">
        <v>3</v>
      </c>
      <c r="M20" s="4">
        <v>1577</v>
      </c>
      <c r="N20" s="4">
        <v>981</v>
      </c>
      <c r="O20" s="3">
        <v>0.60799999999999998</v>
      </c>
      <c r="P20" s="4">
        <v>699</v>
      </c>
      <c r="Q20" s="4">
        <v>245</v>
      </c>
      <c r="R20" s="3">
        <v>1.857</v>
      </c>
      <c r="S20" s="4">
        <v>139.74</v>
      </c>
      <c r="T20" s="3">
        <v>0.81899999999999995</v>
      </c>
      <c r="U20" s="4">
        <v>3164</v>
      </c>
      <c r="V20" s="3">
        <v>0.33400000000000002</v>
      </c>
      <c r="W20" s="3">
        <v>0</v>
      </c>
      <c r="X20" s="3">
        <v>0</v>
      </c>
      <c r="Y20" s="3">
        <v>0.114</v>
      </c>
      <c r="Z20" s="3">
        <v>0.114</v>
      </c>
      <c r="AA20" s="3">
        <v>0</v>
      </c>
      <c r="AB20" s="3">
        <v>0.114</v>
      </c>
      <c r="AC20" s="3">
        <v>0.114</v>
      </c>
      <c r="AD20" s="3">
        <v>0</v>
      </c>
      <c r="AE20" s="3">
        <v>0</v>
      </c>
      <c r="AF20" s="3">
        <v>0</v>
      </c>
      <c r="AG20" s="3">
        <v>0</v>
      </c>
      <c r="AH20" s="3">
        <v>0.314</v>
      </c>
      <c r="AI20" s="3">
        <v>0.314</v>
      </c>
      <c r="AJ20" s="3">
        <v>0</v>
      </c>
      <c r="AK20" s="3">
        <v>0.48199999999999998</v>
      </c>
      <c r="AL20" s="4">
        <v>1639</v>
      </c>
    </row>
    <row r="21" spans="1:38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0.63700000000000001</v>
      </c>
      <c r="F21" s="3">
        <v>6.7000000000000004E-2</v>
      </c>
      <c r="G21" s="3">
        <v>0</v>
      </c>
      <c r="H21" s="3">
        <v>0</v>
      </c>
      <c r="I21" s="4">
        <v>0</v>
      </c>
      <c r="J21" s="8"/>
      <c r="K21" s="4">
        <v>28</v>
      </c>
      <c r="L21" s="4">
        <v>-2</v>
      </c>
      <c r="M21" s="4">
        <v>653</v>
      </c>
      <c r="N21" s="4">
        <v>1024</v>
      </c>
      <c r="O21" s="3">
        <v>-0.36299999999999999</v>
      </c>
      <c r="P21" s="4">
        <v>0</v>
      </c>
      <c r="Q21" s="4">
        <v>0</v>
      </c>
      <c r="R21" s="8"/>
      <c r="S21" s="8"/>
      <c r="T21" s="8"/>
      <c r="U21" s="4">
        <v>1311</v>
      </c>
      <c r="V21" s="3">
        <v>-0.105</v>
      </c>
      <c r="W21" s="3">
        <v>0</v>
      </c>
      <c r="X21" s="3">
        <v>0</v>
      </c>
      <c r="Y21" s="3">
        <v>-2E-3</v>
      </c>
      <c r="Z21" s="3">
        <v>-2E-3</v>
      </c>
      <c r="AA21" s="3">
        <v>0</v>
      </c>
      <c r="AB21" s="3">
        <v>-2E-3</v>
      </c>
      <c r="AC21" s="3">
        <v>-2E-3</v>
      </c>
      <c r="AD21" s="3">
        <v>0</v>
      </c>
      <c r="AE21" s="8"/>
      <c r="AF21" s="8"/>
      <c r="AG21" s="8"/>
      <c r="AH21" s="3">
        <v>0.248</v>
      </c>
      <c r="AI21" s="3">
        <v>0.248</v>
      </c>
      <c r="AJ21" s="3">
        <v>0</v>
      </c>
      <c r="AK21" s="3">
        <v>0.4022</v>
      </c>
      <c r="AL21" s="4">
        <v>784</v>
      </c>
    </row>
    <row r="22" spans="1:38" x14ac:dyDescent="0.25">
      <c r="A22" s="12" t="s">
        <v>37</v>
      </c>
      <c r="B22" s="12" t="s">
        <v>48</v>
      </c>
      <c r="C22" s="5" t="s">
        <v>42</v>
      </c>
      <c r="D22" s="5"/>
      <c r="E22" s="6">
        <v>0.57299999999999995</v>
      </c>
      <c r="F22" s="6">
        <v>6.3E-2</v>
      </c>
      <c r="G22" s="6">
        <v>0.25900000000000001</v>
      </c>
      <c r="H22" s="6">
        <v>0.193</v>
      </c>
      <c r="I22" s="7">
        <v>10</v>
      </c>
      <c r="J22" s="6">
        <v>-0.16700000000000001</v>
      </c>
      <c r="K22" s="7">
        <v>188</v>
      </c>
      <c r="L22" s="7">
        <v>-2</v>
      </c>
      <c r="M22" s="7">
        <v>3439</v>
      </c>
      <c r="N22" s="7">
        <v>4133</v>
      </c>
      <c r="O22" s="6">
        <v>-0.16800000000000001</v>
      </c>
      <c r="P22" s="7">
        <v>1071</v>
      </c>
      <c r="Q22" s="7">
        <v>1478</v>
      </c>
      <c r="R22" s="6">
        <v>-0.27500000000000002</v>
      </c>
      <c r="S22" s="7">
        <v>172.23</v>
      </c>
      <c r="T22" s="6">
        <v>-0.21199999999999999</v>
      </c>
      <c r="U22" s="7">
        <v>6396</v>
      </c>
      <c r="V22" s="6">
        <v>4.3999999999999997E-2</v>
      </c>
      <c r="W22" s="6">
        <v>1.4999999999999999E-2</v>
      </c>
      <c r="X22" s="6">
        <v>0</v>
      </c>
      <c r="Y22" s="6">
        <v>7.1999999999999995E-2</v>
      </c>
      <c r="Z22" s="6">
        <v>0.13100000000000001</v>
      </c>
      <c r="AA22" s="6">
        <v>-5.8999999999999997E-2</v>
      </c>
      <c r="AB22" s="6">
        <v>7.1999999999999995E-2</v>
      </c>
      <c r="AC22" s="6">
        <v>0.13100000000000001</v>
      </c>
      <c r="AD22" s="6">
        <v>-5.8999999999999997E-2</v>
      </c>
      <c r="AE22" s="6">
        <v>0</v>
      </c>
      <c r="AF22" s="6">
        <v>0.497</v>
      </c>
      <c r="AG22" s="6">
        <v>-0.497</v>
      </c>
      <c r="AH22" s="6">
        <v>0.28000000000000003</v>
      </c>
      <c r="AI22" s="6">
        <v>0.33900000000000002</v>
      </c>
      <c r="AJ22" s="6">
        <v>-5.8999999999999997E-2</v>
      </c>
      <c r="AK22" s="6">
        <v>0.45889999999999997</v>
      </c>
      <c r="AL22" s="7">
        <v>3461</v>
      </c>
    </row>
    <row r="23" spans="1:38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1.032</v>
      </c>
      <c r="F23" s="3">
        <v>6.8000000000000005E-2</v>
      </c>
      <c r="G23" s="3">
        <v>0.32400000000000001</v>
      </c>
      <c r="H23" s="3">
        <v>0.22</v>
      </c>
      <c r="I23" s="4">
        <v>13</v>
      </c>
      <c r="J23" s="3">
        <v>2.25</v>
      </c>
      <c r="K23" s="4">
        <v>68</v>
      </c>
      <c r="L23" s="4">
        <v>9</v>
      </c>
      <c r="M23" s="4">
        <v>16332</v>
      </c>
      <c r="N23" s="4">
        <v>12046</v>
      </c>
      <c r="O23" s="3">
        <v>0.35599999999999998</v>
      </c>
      <c r="P23" s="4">
        <v>3905</v>
      </c>
      <c r="Q23" s="4">
        <v>2649</v>
      </c>
      <c r="R23" s="3">
        <v>0.47399999999999998</v>
      </c>
      <c r="S23" s="4">
        <v>300.39999999999998</v>
      </c>
      <c r="T23" s="3">
        <v>-0.54600000000000004</v>
      </c>
      <c r="U23" s="4">
        <v>13312</v>
      </c>
      <c r="V23" s="3">
        <v>0.13500000000000001</v>
      </c>
      <c r="W23" s="3">
        <v>1E-3</v>
      </c>
      <c r="X23" s="3">
        <v>0.47199999999999998</v>
      </c>
      <c r="Y23" s="3">
        <v>0.41899999999999998</v>
      </c>
      <c r="Z23" s="3">
        <v>0.19600000000000001</v>
      </c>
      <c r="AA23" s="3">
        <v>0.223</v>
      </c>
      <c r="AB23" s="3">
        <v>0.41899999999999998</v>
      </c>
      <c r="AC23" s="3">
        <v>0.19600000000000001</v>
      </c>
      <c r="AD23" s="3">
        <v>0.223</v>
      </c>
      <c r="AE23" s="3">
        <v>0.42399999999999999</v>
      </c>
      <c r="AF23" s="3">
        <v>0</v>
      </c>
      <c r="AG23" s="3">
        <v>0.42399999999999999</v>
      </c>
      <c r="AH23" s="3">
        <v>0.53100000000000003</v>
      </c>
      <c r="AI23" s="3">
        <v>0.32200000000000001</v>
      </c>
      <c r="AJ23" s="3">
        <v>0.20799999999999999</v>
      </c>
      <c r="AK23" s="3">
        <v>0.69320000000000004</v>
      </c>
      <c r="AL23" s="4">
        <v>4084</v>
      </c>
    </row>
    <row r="24" spans="1:38" x14ac:dyDescent="0.25">
      <c r="A24" s="12" t="s">
        <v>37</v>
      </c>
      <c r="B24" s="12" t="s">
        <v>59</v>
      </c>
      <c r="C24" s="5" t="s">
        <v>42</v>
      </c>
      <c r="D24" s="5"/>
      <c r="E24" s="6">
        <v>1.032</v>
      </c>
      <c r="F24" s="6">
        <v>6.8000000000000005E-2</v>
      </c>
      <c r="G24" s="6">
        <v>0.32400000000000001</v>
      </c>
      <c r="H24" s="6">
        <v>0.22</v>
      </c>
      <c r="I24" s="7">
        <v>13</v>
      </c>
      <c r="J24" s="6">
        <v>2.25</v>
      </c>
      <c r="K24" s="7">
        <v>68</v>
      </c>
      <c r="L24" s="7">
        <v>9</v>
      </c>
      <c r="M24" s="7">
        <v>16332</v>
      </c>
      <c r="N24" s="7">
        <v>12046</v>
      </c>
      <c r="O24" s="6">
        <v>0.35599999999999998</v>
      </c>
      <c r="P24" s="7">
        <v>3905</v>
      </c>
      <c r="Q24" s="7">
        <v>2649</v>
      </c>
      <c r="R24" s="6">
        <v>0.47399999999999998</v>
      </c>
      <c r="S24" s="7">
        <v>300.39999999999998</v>
      </c>
      <c r="T24" s="6">
        <v>-0.54600000000000004</v>
      </c>
      <c r="U24" s="7">
        <v>13312</v>
      </c>
      <c r="V24" s="6">
        <v>0.13500000000000001</v>
      </c>
      <c r="W24" s="6">
        <v>1E-3</v>
      </c>
      <c r="X24" s="6">
        <v>0.47199999999999998</v>
      </c>
      <c r="Y24" s="6">
        <v>0.41899999999999998</v>
      </c>
      <c r="Z24" s="6">
        <v>0.19600000000000001</v>
      </c>
      <c r="AA24" s="6">
        <v>0.223</v>
      </c>
      <c r="AB24" s="6">
        <v>0.41899999999999998</v>
      </c>
      <c r="AC24" s="6">
        <v>0.19600000000000001</v>
      </c>
      <c r="AD24" s="6">
        <v>0.223</v>
      </c>
      <c r="AE24" s="6">
        <v>0.42399999999999999</v>
      </c>
      <c r="AF24" s="6">
        <v>0</v>
      </c>
      <c r="AG24" s="6">
        <v>0.42399999999999999</v>
      </c>
      <c r="AH24" s="6">
        <v>0.53100000000000003</v>
      </c>
      <c r="AI24" s="6">
        <v>0.32200000000000001</v>
      </c>
      <c r="AJ24" s="6">
        <v>0.20799999999999999</v>
      </c>
      <c r="AK24" s="6">
        <v>0.69320000000000004</v>
      </c>
      <c r="AL24" s="7">
        <v>4084</v>
      </c>
    </row>
    <row r="25" spans="1:38" x14ac:dyDescent="0.25">
      <c r="A25" s="12" t="s">
        <v>37</v>
      </c>
      <c r="B25" s="5" t="s">
        <v>42</v>
      </c>
      <c r="C25" s="5"/>
      <c r="D25" s="5"/>
      <c r="E25" s="6">
        <v>0.94199999999999995</v>
      </c>
      <c r="F25" s="6">
        <v>5.2999999999999999E-2</v>
      </c>
      <c r="G25" s="6">
        <v>0.12</v>
      </c>
      <c r="H25" s="6">
        <v>8.5000000000000006E-2</v>
      </c>
      <c r="I25" s="7">
        <v>267</v>
      </c>
      <c r="J25" s="6">
        <v>0.28399999999999997</v>
      </c>
      <c r="K25" s="7">
        <v>3684</v>
      </c>
      <c r="L25" s="7">
        <v>74</v>
      </c>
      <c r="M25" s="7">
        <v>560515</v>
      </c>
      <c r="N25" s="7">
        <v>527551</v>
      </c>
      <c r="O25" s="6">
        <v>6.2E-2</v>
      </c>
      <c r="P25" s="7">
        <v>63498</v>
      </c>
      <c r="Q25" s="7">
        <v>62442</v>
      </c>
      <c r="R25" s="6">
        <v>1.7000000000000001E-2</v>
      </c>
      <c r="S25" s="7">
        <v>244.89</v>
      </c>
      <c r="T25" s="6">
        <v>-0.23799999999999999</v>
      </c>
      <c r="U25" s="7">
        <v>473113</v>
      </c>
      <c r="V25" s="6">
        <v>0.03</v>
      </c>
      <c r="W25" s="6">
        <v>6.0000000000000001E-3</v>
      </c>
      <c r="X25" s="6">
        <v>0.72199999999999998</v>
      </c>
      <c r="Y25" s="6">
        <v>0.748</v>
      </c>
      <c r="Z25" s="6">
        <v>0.60399999999999998</v>
      </c>
      <c r="AA25" s="6">
        <v>0.14399999999999999</v>
      </c>
      <c r="AB25" s="6">
        <v>0.748</v>
      </c>
      <c r="AC25" s="6">
        <v>0.60299999999999998</v>
      </c>
      <c r="AD25" s="6">
        <v>0.14499999999999999</v>
      </c>
      <c r="AE25" s="6">
        <v>1.375</v>
      </c>
      <c r="AF25" s="6">
        <v>0.6</v>
      </c>
      <c r="AG25" s="6">
        <v>0.77500000000000002</v>
      </c>
      <c r="AH25" s="6">
        <v>0.85899999999999999</v>
      </c>
      <c r="AI25" s="6">
        <v>0.71499999999999997</v>
      </c>
      <c r="AJ25" s="6">
        <v>0.14299999999999999</v>
      </c>
      <c r="AK25" s="6">
        <v>1.0299</v>
      </c>
      <c r="AL25" s="7">
        <v>-14165</v>
      </c>
    </row>
    <row r="26" spans="1:38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0.92100000000000004</v>
      </c>
      <c r="F26" s="3">
        <v>0.08</v>
      </c>
      <c r="G26" s="3">
        <v>0.183</v>
      </c>
      <c r="H26" s="3">
        <v>8.8999999999999996E-2</v>
      </c>
      <c r="I26" s="4">
        <v>5</v>
      </c>
      <c r="J26" s="3">
        <v>-0.16700000000000001</v>
      </c>
      <c r="K26" s="4">
        <v>85</v>
      </c>
      <c r="L26" s="4">
        <v>-2</v>
      </c>
      <c r="M26" s="4">
        <v>3986</v>
      </c>
      <c r="N26" s="4">
        <v>3610</v>
      </c>
      <c r="O26" s="3">
        <v>0.104</v>
      </c>
      <c r="P26" s="4">
        <v>660</v>
      </c>
      <c r="Q26" s="4">
        <v>764</v>
      </c>
      <c r="R26" s="3">
        <v>-0.13600000000000001</v>
      </c>
      <c r="S26" s="4">
        <v>215.13</v>
      </c>
      <c r="T26" s="3">
        <v>0.46</v>
      </c>
      <c r="U26" s="4">
        <v>3870</v>
      </c>
      <c r="V26" s="3">
        <v>-7.0000000000000007E-2</v>
      </c>
      <c r="W26" s="3">
        <v>0</v>
      </c>
      <c r="X26" s="3">
        <v>0</v>
      </c>
      <c r="Y26" s="3">
        <v>0.13500000000000001</v>
      </c>
      <c r="Z26" s="3">
        <v>0.13500000000000001</v>
      </c>
      <c r="AA26" s="3">
        <v>0</v>
      </c>
      <c r="AB26" s="3">
        <v>0.13500000000000001</v>
      </c>
      <c r="AC26" s="3">
        <v>0.13500000000000001</v>
      </c>
      <c r="AD26" s="3">
        <v>0</v>
      </c>
      <c r="AE26" s="3">
        <v>0</v>
      </c>
      <c r="AF26" s="3">
        <v>0</v>
      </c>
      <c r="AG26" s="3">
        <v>0</v>
      </c>
      <c r="AH26" s="3">
        <v>0.32100000000000001</v>
      </c>
      <c r="AI26" s="3">
        <v>0.32</v>
      </c>
      <c r="AJ26" s="3">
        <v>1E-3</v>
      </c>
      <c r="AK26" s="3">
        <v>0.48199999999999998</v>
      </c>
      <c r="AL26" s="4">
        <v>2005</v>
      </c>
    </row>
    <row r="27" spans="1:38" x14ac:dyDescent="0.25">
      <c r="A27" s="12" t="s">
        <v>61</v>
      </c>
      <c r="B27" s="12" t="s">
        <v>39</v>
      </c>
      <c r="C27" s="5" t="s">
        <v>42</v>
      </c>
      <c r="D27" s="5"/>
      <c r="E27" s="6">
        <v>0.92100000000000004</v>
      </c>
      <c r="F27" s="6">
        <v>0.08</v>
      </c>
      <c r="G27" s="6">
        <v>0.183</v>
      </c>
      <c r="H27" s="6">
        <v>8.8999999999999996E-2</v>
      </c>
      <c r="I27" s="7">
        <v>5</v>
      </c>
      <c r="J27" s="6">
        <v>-0.16700000000000001</v>
      </c>
      <c r="K27" s="7">
        <v>85</v>
      </c>
      <c r="L27" s="7">
        <v>-2</v>
      </c>
      <c r="M27" s="7">
        <v>3986</v>
      </c>
      <c r="N27" s="7">
        <v>3610</v>
      </c>
      <c r="O27" s="6">
        <v>0.104</v>
      </c>
      <c r="P27" s="7">
        <v>660</v>
      </c>
      <c r="Q27" s="7">
        <v>764</v>
      </c>
      <c r="R27" s="6">
        <v>-0.13600000000000001</v>
      </c>
      <c r="S27" s="7">
        <v>215.13</v>
      </c>
      <c r="T27" s="6">
        <v>0.46</v>
      </c>
      <c r="U27" s="7">
        <v>3870</v>
      </c>
      <c r="V27" s="6">
        <v>-7.0000000000000007E-2</v>
      </c>
      <c r="W27" s="6">
        <v>0</v>
      </c>
      <c r="X27" s="6">
        <v>0</v>
      </c>
      <c r="Y27" s="6">
        <v>0.13500000000000001</v>
      </c>
      <c r="Z27" s="6">
        <v>0.13500000000000001</v>
      </c>
      <c r="AA27" s="6">
        <v>0</v>
      </c>
      <c r="AB27" s="6">
        <v>0.13500000000000001</v>
      </c>
      <c r="AC27" s="6">
        <v>0.13500000000000001</v>
      </c>
      <c r="AD27" s="6">
        <v>0</v>
      </c>
      <c r="AE27" s="6">
        <v>0</v>
      </c>
      <c r="AF27" s="6">
        <v>0</v>
      </c>
      <c r="AG27" s="6">
        <v>0</v>
      </c>
      <c r="AH27" s="6">
        <v>0.32100000000000001</v>
      </c>
      <c r="AI27" s="6">
        <v>0.32</v>
      </c>
      <c r="AJ27" s="6">
        <v>1E-3</v>
      </c>
      <c r="AK27" s="6">
        <v>0.48199999999999998</v>
      </c>
      <c r="AL27" s="7">
        <v>2005</v>
      </c>
    </row>
    <row r="28" spans="1:38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0.122</v>
      </c>
      <c r="F28" s="3">
        <v>4.8000000000000001E-2</v>
      </c>
      <c r="G28" s="3">
        <v>0.90700000000000003</v>
      </c>
      <c r="H28" s="3">
        <v>0.90700000000000003</v>
      </c>
      <c r="I28" s="4">
        <v>14</v>
      </c>
      <c r="J28" s="3">
        <v>-0.26300000000000001</v>
      </c>
      <c r="K28" s="4">
        <v>73</v>
      </c>
      <c r="L28" s="4">
        <v>11</v>
      </c>
      <c r="M28" s="4">
        <v>8883</v>
      </c>
      <c r="N28" s="4">
        <v>8631</v>
      </c>
      <c r="O28" s="3">
        <v>2.9000000000000001E-2</v>
      </c>
      <c r="P28" s="4">
        <v>7830</v>
      </c>
      <c r="Q28" s="4">
        <v>6682</v>
      </c>
      <c r="R28" s="3">
        <v>0.17199999999999999</v>
      </c>
      <c r="S28" s="4">
        <v>559.29999999999995</v>
      </c>
      <c r="T28" s="3">
        <v>0.50700000000000001</v>
      </c>
      <c r="U28" s="4">
        <v>11538</v>
      </c>
      <c r="V28" s="3">
        <v>-0.23400000000000001</v>
      </c>
      <c r="W28" s="3">
        <v>0</v>
      </c>
      <c r="X28" s="3">
        <v>0.67700000000000005</v>
      </c>
      <c r="Y28" s="3">
        <v>0.69599999999999995</v>
      </c>
      <c r="Z28" s="3">
        <v>0.69099999999999995</v>
      </c>
      <c r="AA28" s="3">
        <v>4.0000000000000001E-3</v>
      </c>
      <c r="AB28" s="3">
        <v>0.69599999999999995</v>
      </c>
      <c r="AC28" s="3">
        <v>0.69099999999999995</v>
      </c>
      <c r="AD28" s="3">
        <v>4.0000000000000001E-3</v>
      </c>
      <c r="AE28" s="3">
        <v>0</v>
      </c>
      <c r="AF28" s="3">
        <v>0</v>
      </c>
      <c r="AG28" s="3">
        <v>0</v>
      </c>
      <c r="AH28" s="3">
        <v>0.76600000000000001</v>
      </c>
      <c r="AI28" s="3">
        <v>0.76200000000000001</v>
      </c>
      <c r="AJ28" s="3">
        <v>4.0000000000000001E-3</v>
      </c>
      <c r="AK28" s="3">
        <v>0.93910000000000005</v>
      </c>
      <c r="AL28" s="4">
        <v>703</v>
      </c>
    </row>
    <row r="29" spans="1:38" x14ac:dyDescent="0.25">
      <c r="A29" s="12" t="s">
        <v>61</v>
      </c>
      <c r="B29" s="12" t="s">
        <v>43</v>
      </c>
      <c r="C29" s="5" t="s">
        <v>42</v>
      </c>
      <c r="D29" s="5"/>
      <c r="E29" s="6">
        <v>0.122</v>
      </c>
      <c r="F29" s="6">
        <v>4.8000000000000001E-2</v>
      </c>
      <c r="G29" s="6">
        <v>0.90700000000000003</v>
      </c>
      <c r="H29" s="6">
        <v>0.90700000000000003</v>
      </c>
      <c r="I29" s="7">
        <v>14</v>
      </c>
      <c r="J29" s="6">
        <v>-0.26300000000000001</v>
      </c>
      <c r="K29" s="7">
        <v>73</v>
      </c>
      <c r="L29" s="7">
        <v>11</v>
      </c>
      <c r="M29" s="7">
        <v>8883</v>
      </c>
      <c r="N29" s="7">
        <v>8631</v>
      </c>
      <c r="O29" s="6">
        <v>2.9000000000000001E-2</v>
      </c>
      <c r="P29" s="7">
        <v>7830</v>
      </c>
      <c r="Q29" s="7">
        <v>6682</v>
      </c>
      <c r="R29" s="6">
        <v>0.17199999999999999</v>
      </c>
      <c r="S29" s="7">
        <v>559.29999999999995</v>
      </c>
      <c r="T29" s="6">
        <v>0.50700000000000001</v>
      </c>
      <c r="U29" s="7">
        <v>11538</v>
      </c>
      <c r="V29" s="6">
        <v>-0.23400000000000001</v>
      </c>
      <c r="W29" s="6">
        <v>0</v>
      </c>
      <c r="X29" s="6">
        <v>0.67700000000000005</v>
      </c>
      <c r="Y29" s="6">
        <v>0.69599999999999995</v>
      </c>
      <c r="Z29" s="6">
        <v>0.69099999999999995</v>
      </c>
      <c r="AA29" s="6">
        <v>4.0000000000000001E-3</v>
      </c>
      <c r="AB29" s="6">
        <v>0.69599999999999995</v>
      </c>
      <c r="AC29" s="6">
        <v>0.69099999999999995</v>
      </c>
      <c r="AD29" s="6">
        <v>4.0000000000000001E-3</v>
      </c>
      <c r="AE29" s="6">
        <v>0</v>
      </c>
      <c r="AF29" s="6">
        <v>0</v>
      </c>
      <c r="AG29" s="6">
        <v>0</v>
      </c>
      <c r="AH29" s="6">
        <v>0.76600000000000001</v>
      </c>
      <c r="AI29" s="6">
        <v>0.76200000000000001</v>
      </c>
      <c r="AJ29" s="6">
        <v>4.0000000000000001E-3</v>
      </c>
      <c r="AK29" s="6">
        <v>0.93910000000000005</v>
      </c>
      <c r="AL29" s="7">
        <v>703</v>
      </c>
    </row>
    <row r="30" spans="1:38" x14ac:dyDescent="0.25">
      <c r="A30" s="12" t="s">
        <v>61</v>
      </c>
      <c r="B30" s="12" t="s">
        <v>64</v>
      </c>
      <c r="C30" s="2" t="s">
        <v>65</v>
      </c>
      <c r="D30" s="2" t="s">
        <v>65</v>
      </c>
      <c r="E30" s="3">
        <v>0.89100000000000001</v>
      </c>
      <c r="F30" s="3">
        <v>0.125</v>
      </c>
      <c r="G30" s="3">
        <v>4.2999999999999997E-2</v>
      </c>
      <c r="H30" s="3">
        <v>4.2999999999999997E-2</v>
      </c>
      <c r="I30" s="4">
        <v>2</v>
      </c>
      <c r="J30" s="3">
        <v>-0.33300000000000002</v>
      </c>
      <c r="K30" s="4">
        <v>44</v>
      </c>
      <c r="L30" s="4">
        <v>-4</v>
      </c>
      <c r="M30" s="4">
        <v>22298</v>
      </c>
      <c r="N30" s="4">
        <v>23856</v>
      </c>
      <c r="O30" s="3">
        <v>-6.5000000000000002E-2</v>
      </c>
      <c r="P30" s="4">
        <v>1038</v>
      </c>
      <c r="Q30" s="4">
        <v>2177</v>
      </c>
      <c r="R30" s="3">
        <v>-0.52300000000000002</v>
      </c>
      <c r="S30" s="4">
        <v>518.79999999999995</v>
      </c>
      <c r="T30" s="3">
        <v>-0.28499999999999998</v>
      </c>
      <c r="U30" s="4">
        <v>20626</v>
      </c>
      <c r="V30" s="3">
        <v>-9.7000000000000003E-2</v>
      </c>
      <c r="W30" s="3">
        <v>1.7999999999999999E-2</v>
      </c>
      <c r="X30" s="3">
        <v>1.6579999999999999</v>
      </c>
      <c r="Y30" s="3">
        <v>1.7370000000000001</v>
      </c>
      <c r="Z30" s="3">
        <v>1.5580000000000001</v>
      </c>
      <c r="AA30" s="3">
        <v>0.17899999999999999</v>
      </c>
      <c r="AB30" s="3">
        <v>1.7370000000000001</v>
      </c>
      <c r="AC30" s="3">
        <v>1.556</v>
      </c>
      <c r="AD30" s="3">
        <v>0.18099999999999999</v>
      </c>
      <c r="AE30" s="3">
        <v>0</v>
      </c>
      <c r="AF30" s="3">
        <v>6.0460000000000003</v>
      </c>
      <c r="AG30" s="3">
        <v>-6.0460000000000003</v>
      </c>
      <c r="AH30" s="3">
        <v>1.9390000000000001</v>
      </c>
      <c r="AI30" s="3">
        <v>1.76</v>
      </c>
      <c r="AJ30" s="3">
        <v>0.17899999999999999</v>
      </c>
      <c r="AK30" s="3">
        <v>2.0678000000000001</v>
      </c>
      <c r="AL30" s="4">
        <v>-22024</v>
      </c>
    </row>
    <row r="31" spans="1:38" x14ac:dyDescent="0.25">
      <c r="A31" s="12" t="s">
        <v>61</v>
      </c>
      <c r="B31" s="12" t="s">
        <v>64</v>
      </c>
      <c r="C31" s="5" t="s">
        <v>42</v>
      </c>
      <c r="D31" s="5"/>
      <c r="E31" s="6">
        <v>0.89100000000000001</v>
      </c>
      <c r="F31" s="6">
        <v>0.125</v>
      </c>
      <c r="G31" s="6">
        <v>4.2999999999999997E-2</v>
      </c>
      <c r="H31" s="6">
        <v>4.2999999999999997E-2</v>
      </c>
      <c r="I31" s="7">
        <v>2</v>
      </c>
      <c r="J31" s="6">
        <v>-0.33300000000000002</v>
      </c>
      <c r="K31" s="7">
        <v>44</v>
      </c>
      <c r="L31" s="7">
        <v>-4</v>
      </c>
      <c r="M31" s="7">
        <v>22298</v>
      </c>
      <c r="N31" s="7">
        <v>23856</v>
      </c>
      <c r="O31" s="6">
        <v>-6.5000000000000002E-2</v>
      </c>
      <c r="P31" s="7">
        <v>1038</v>
      </c>
      <c r="Q31" s="7">
        <v>2177</v>
      </c>
      <c r="R31" s="6">
        <v>-0.52300000000000002</v>
      </c>
      <c r="S31" s="7">
        <v>518.79999999999995</v>
      </c>
      <c r="T31" s="6">
        <v>-0.28499999999999998</v>
      </c>
      <c r="U31" s="7">
        <v>20626</v>
      </c>
      <c r="V31" s="6">
        <v>-9.7000000000000003E-2</v>
      </c>
      <c r="W31" s="6">
        <v>1.7999999999999999E-2</v>
      </c>
      <c r="X31" s="6">
        <v>1.6579999999999999</v>
      </c>
      <c r="Y31" s="6">
        <v>1.7370000000000001</v>
      </c>
      <c r="Z31" s="6">
        <v>1.5580000000000001</v>
      </c>
      <c r="AA31" s="6">
        <v>0.17899999999999999</v>
      </c>
      <c r="AB31" s="6">
        <v>1.7370000000000001</v>
      </c>
      <c r="AC31" s="6">
        <v>1.556</v>
      </c>
      <c r="AD31" s="6">
        <v>0.18099999999999999</v>
      </c>
      <c r="AE31" s="6">
        <v>0</v>
      </c>
      <c r="AF31" s="6">
        <v>6.0460000000000003</v>
      </c>
      <c r="AG31" s="6">
        <v>-6.0460000000000003</v>
      </c>
      <c r="AH31" s="6">
        <v>1.9390000000000001</v>
      </c>
      <c r="AI31" s="6">
        <v>1.76</v>
      </c>
      <c r="AJ31" s="6">
        <v>0.17899999999999999</v>
      </c>
      <c r="AK31" s="6">
        <v>2.0678000000000001</v>
      </c>
      <c r="AL31" s="7">
        <v>-22024</v>
      </c>
    </row>
    <row r="32" spans="1:38" x14ac:dyDescent="0.25">
      <c r="A32" s="12" t="s">
        <v>61</v>
      </c>
      <c r="B32" s="12" t="s">
        <v>66</v>
      </c>
      <c r="C32" s="2" t="s">
        <v>55</v>
      </c>
      <c r="D32" s="2" t="s">
        <v>67</v>
      </c>
      <c r="E32" s="3">
        <v>0.95899999999999996</v>
      </c>
      <c r="F32" s="3">
        <v>2.1000000000000001E-2</v>
      </c>
      <c r="G32" s="3">
        <v>0.06</v>
      </c>
      <c r="H32" s="3">
        <v>0.06</v>
      </c>
      <c r="I32" s="4">
        <v>2</v>
      </c>
      <c r="J32" s="3">
        <v>-0.6</v>
      </c>
      <c r="K32" s="4">
        <v>49</v>
      </c>
      <c r="L32" s="4">
        <v>1</v>
      </c>
      <c r="M32" s="4">
        <v>34155</v>
      </c>
      <c r="N32" s="4">
        <v>33539</v>
      </c>
      <c r="O32" s="3">
        <v>1.7999999999999999E-2</v>
      </c>
      <c r="P32" s="4">
        <v>1998</v>
      </c>
      <c r="Q32" s="4">
        <v>2123</v>
      </c>
      <c r="R32" s="3">
        <v>-5.8999999999999997E-2</v>
      </c>
      <c r="S32" s="4">
        <v>999.12</v>
      </c>
      <c r="T32" s="3">
        <v>0.88700000000000001</v>
      </c>
      <c r="U32" s="4">
        <v>24073</v>
      </c>
      <c r="V32" s="3">
        <v>-0.02</v>
      </c>
      <c r="W32" s="3">
        <v>2.7E-2</v>
      </c>
      <c r="X32" s="3">
        <v>6.2E-2</v>
      </c>
      <c r="Y32" s="3">
        <v>0.38200000000000001</v>
      </c>
      <c r="Z32" s="3">
        <v>0.34799999999999998</v>
      </c>
      <c r="AA32" s="3">
        <v>3.3000000000000002E-2</v>
      </c>
      <c r="AB32" s="3">
        <v>0.38200000000000001</v>
      </c>
      <c r="AC32" s="3">
        <v>0.34799999999999998</v>
      </c>
      <c r="AD32" s="3">
        <v>3.3000000000000002E-2</v>
      </c>
      <c r="AE32" s="3">
        <v>0</v>
      </c>
      <c r="AF32" s="3">
        <v>0</v>
      </c>
      <c r="AG32" s="3">
        <v>0</v>
      </c>
      <c r="AH32" s="3">
        <v>0.58099999999999996</v>
      </c>
      <c r="AI32" s="3">
        <v>0.54200000000000004</v>
      </c>
      <c r="AJ32" s="3">
        <v>3.9E-2</v>
      </c>
      <c r="AK32" s="3">
        <v>0.70150000000000001</v>
      </c>
      <c r="AL32" s="4">
        <v>7185</v>
      </c>
    </row>
    <row r="33" spans="1:38" x14ac:dyDescent="0.25">
      <c r="A33" s="12" t="s">
        <v>61</v>
      </c>
      <c r="B33" s="12" t="s">
        <v>66</v>
      </c>
      <c r="C33" s="5" t="s">
        <v>42</v>
      </c>
      <c r="D33" s="5"/>
      <c r="E33" s="6">
        <v>0.95899999999999996</v>
      </c>
      <c r="F33" s="6">
        <v>2.1000000000000001E-2</v>
      </c>
      <c r="G33" s="6">
        <v>0.06</v>
      </c>
      <c r="H33" s="6">
        <v>0.06</v>
      </c>
      <c r="I33" s="7">
        <v>2</v>
      </c>
      <c r="J33" s="6">
        <v>-0.6</v>
      </c>
      <c r="K33" s="7">
        <v>49</v>
      </c>
      <c r="L33" s="7">
        <v>1</v>
      </c>
      <c r="M33" s="7">
        <v>34155</v>
      </c>
      <c r="N33" s="7">
        <v>33539</v>
      </c>
      <c r="O33" s="6">
        <v>1.7999999999999999E-2</v>
      </c>
      <c r="P33" s="7">
        <v>1998</v>
      </c>
      <c r="Q33" s="7">
        <v>2123</v>
      </c>
      <c r="R33" s="6">
        <v>-5.8999999999999997E-2</v>
      </c>
      <c r="S33" s="7">
        <v>999.12</v>
      </c>
      <c r="T33" s="6">
        <v>0.88700000000000001</v>
      </c>
      <c r="U33" s="7">
        <v>24073</v>
      </c>
      <c r="V33" s="6">
        <v>-0.02</v>
      </c>
      <c r="W33" s="6">
        <v>2.7E-2</v>
      </c>
      <c r="X33" s="6">
        <v>6.2E-2</v>
      </c>
      <c r="Y33" s="6">
        <v>0.38200000000000001</v>
      </c>
      <c r="Z33" s="6">
        <v>0.34799999999999998</v>
      </c>
      <c r="AA33" s="6">
        <v>3.3000000000000002E-2</v>
      </c>
      <c r="AB33" s="6">
        <v>0.38200000000000001</v>
      </c>
      <c r="AC33" s="6">
        <v>0.34799999999999998</v>
      </c>
      <c r="AD33" s="6">
        <v>3.3000000000000002E-2</v>
      </c>
      <c r="AE33" s="6">
        <v>0</v>
      </c>
      <c r="AF33" s="6">
        <v>0</v>
      </c>
      <c r="AG33" s="6">
        <v>0</v>
      </c>
      <c r="AH33" s="6">
        <v>0.58099999999999996</v>
      </c>
      <c r="AI33" s="6">
        <v>0.54200000000000004</v>
      </c>
      <c r="AJ33" s="6">
        <v>3.9E-2</v>
      </c>
      <c r="AK33" s="6">
        <v>0.70150000000000001</v>
      </c>
      <c r="AL33" s="7">
        <v>7185</v>
      </c>
    </row>
    <row r="34" spans="1:38" x14ac:dyDescent="0.25">
      <c r="A34" s="12" t="s">
        <v>61</v>
      </c>
      <c r="B34" s="12" t="s">
        <v>68</v>
      </c>
      <c r="C34" s="2" t="s">
        <v>69</v>
      </c>
      <c r="D34" s="2" t="s">
        <v>70</v>
      </c>
      <c r="E34" s="3">
        <v>0.98799999999999999</v>
      </c>
      <c r="F34" s="3">
        <v>0</v>
      </c>
      <c r="G34" s="3">
        <v>0</v>
      </c>
      <c r="H34" s="3">
        <v>0</v>
      </c>
      <c r="I34" s="4">
        <v>0</v>
      </c>
      <c r="J34" s="3">
        <v>-1</v>
      </c>
      <c r="K34" s="4">
        <v>14</v>
      </c>
      <c r="L34" s="4">
        <v>0</v>
      </c>
      <c r="M34" s="4">
        <v>5471</v>
      </c>
      <c r="N34" s="4">
        <v>5538</v>
      </c>
      <c r="O34" s="3">
        <v>-1.2E-2</v>
      </c>
      <c r="P34" s="4">
        <v>0</v>
      </c>
      <c r="Q34" s="4">
        <v>350</v>
      </c>
      <c r="R34" s="3">
        <v>-1</v>
      </c>
      <c r="S34" s="8"/>
      <c r="T34" s="8"/>
      <c r="U34" s="4">
        <v>2754</v>
      </c>
      <c r="V34" s="3">
        <v>2E-3</v>
      </c>
      <c r="W34" s="3">
        <v>0</v>
      </c>
      <c r="X34" s="3">
        <v>0</v>
      </c>
      <c r="Y34" s="3">
        <v>0.04</v>
      </c>
      <c r="Z34" s="3">
        <v>4.4999999999999998E-2</v>
      </c>
      <c r="AA34" s="3">
        <v>-5.0000000000000001E-3</v>
      </c>
      <c r="AB34" s="3">
        <v>0.04</v>
      </c>
      <c r="AC34" s="3">
        <v>4.4999999999999998E-2</v>
      </c>
      <c r="AD34" s="3">
        <v>-5.0000000000000001E-3</v>
      </c>
      <c r="AE34" s="8"/>
      <c r="AF34" s="3">
        <v>0</v>
      </c>
      <c r="AG34" s="8"/>
      <c r="AH34" s="3">
        <v>0.191</v>
      </c>
      <c r="AI34" s="3">
        <v>0.19500000000000001</v>
      </c>
      <c r="AJ34" s="3">
        <v>-4.0000000000000001E-3</v>
      </c>
      <c r="AK34" s="3">
        <v>0.30080000000000001</v>
      </c>
      <c r="AL34" s="4">
        <v>1926</v>
      </c>
    </row>
    <row r="35" spans="1:38" x14ac:dyDescent="0.25">
      <c r="A35" s="12" t="s">
        <v>61</v>
      </c>
      <c r="B35" s="12" t="s">
        <v>68</v>
      </c>
      <c r="C35" s="5" t="s">
        <v>42</v>
      </c>
      <c r="D35" s="5"/>
      <c r="E35" s="6">
        <v>0.98799999999999999</v>
      </c>
      <c r="F35" s="6">
        <v>0</v>
      </c>
      <c r="G35" s="6">
        <v>0</v>
      </c>
      <c r="H35" s="6">
        <v>0</v>
      </c>
      <c r="I35" s="7">
        <v>0</v>
      </c>
      <c r="J35" s="6">
        <v>-1</v>
      </c>
      <c r="K35" s="7">
        <v>14</v>
      </c>
      <c r="L35" s="7">
        <v>0</v>
      </c>
      <c r="M35" s="7">
        <v>5471</v>
      </c>
      <c r="N35" s="7">
        <v>5538</v>
      </c>
      <c r="O35" s="6">
        <v>-1.2E-2</v>
      </c>
      <c r="P35" s="7">
        <v>0</v>
      </c>
      <c r="Q35" s="7">
        <v>350</v>
      </c>
      <c r="R35" s="6">
        <v>-1</v>
      </c>
      <c r="S35" s="5"/>
      <c r="T35" s="5"/>
      <c r="U35" s="7">
        <v>2754</v>
      </c>
      <c r="V35" s="6">
        <v>2E-3</v>
      </c>
      <c r="W35" s="6">
        <v>0</v>
      </c>
      <c r="X35" s="6">
        <v>0</v>
      </c>
      <c r="Y35" s="6">
        <v>0.04</v>
      </c>
      <c r="Z35" s="6">
        <v>4.4999999999999998E-2</v>
      </c>
      <c r="AA35" s="6">
        <v>-5.0000000000000001E-3</v>
      </c>
      <c r="AB35" s="6">
        <v>0.04</v>
      </c>
      <c r="AC35" s="6">
        <v>4.4999999999999998E-2</v>
      </c>
      <c r="AD35" s="6">
        <v>-5.0000000000000001E-3</v>
      </c>
      <c r="AE35" s="5"/>
      <c r="AF35" s="6">
        <v>0</v>
      </c>
      <c r="AG35" s="5"/>
      <c r="AH35" s="6">
        <v>0.191</v>
      </c>
      <c r="AI35" s="6">
        <v>0.19500000000000001</v>
      </c>
      <c r="AJ35" s="6">
        <v>-4.0000000000000001E-3</v>
      </c>
      <c r="AK35" s="6">
        <v>0.30080000000000001</v>
      </c>
      <c r="AL35" s="7">
        <v>1926</v>
      </c>
    </row>
    <row r="36" spans="1:38" x14ac:dyDescent="0.25">
      <c r="A36" s="12" t="s">
        <v>61</v>
      </c>
      <c r="B36" s="12" t="s">
        <v>46</v>
      </c>
      <c r="C36" s="2" t="s">
        <v>71</v>
      </c>
      <c r="D36" s="2" t="s">
        <v>71</v>
      </c>
      <c r="E36" s="3">
        <v>1.085</v>
      </c>
      <c r="F36" s="3">
        <v>4.4999999999999998E-2</v>
      </c>
      <c r="G36" s="3">
        <v>1.7000000000000001E-2</v>
      </c>
      <c r="H36" s="3">
        <v>0</v>
      </c>
      <c r="I36" s="4">
        <v>1</v>
      </c>
      <c r="J36" s="3">
        <v>-0.83299999999999996</v>
      </c>
      <c r="K36" s="4">
        <v>64</v>
      </c>
      <c r="L36" s="4">
        <v>-2</v>
      </c>
      <c r="M36" s="4">
        <v>17663</v>
      </c>
      <c r="N36" s="4">
        <v>16025</v>
      </c>
      <c r="O36" s="3">
        <v>0.10199999999999999</v>
      </c>
      <c r="P36" s="4">
        <v>271</v>
      </c>
      <c r="Q36" s="4">
        <v>3048</v>
      </c>
      <c r="R36" s="3">
        <v>-0.91100000000000003</v>
      </c>
      <c r="S36" s="4">
        <v>270.68</v>
      </c>
      <c r="T36" s="3">
        <v>-0.46700000000000003</v>
      </c>
      <c r="U36" s="4">
        <v>14379</v>
      </c>
      <c r="V36" s="3">
        <v>6.9000000000000006E-2</v>
      </c>
      <c r="W36" s="3">
        <v>0</v>
      </c>
      <c r="X36" s="3">
        <v>1.7689999999999999</v>
      </c>
      <c r="Y36" s="3">
        <v>1.7130000000000001</v>
      </c>
      <c r="Z36" s="3">
        <v>0.4</v>
      </c>
      <c r="AA36" s="3">
        <v>1.3129999999999999</v>
      </c>
      <c r="AB36" s="3">
        <v>1.7130000000000001</v>
      </c>
      <c r="AC36" s="3">
        <v>0.4</v>
      </c>
      <c r="AD36" s="3">
        <v>1.3129999999999999</v>
      </c>
      <c r="AE36" s="3">
        <v>0</v>
      </c>
      <c r="AF36" s="3">
        <v>0.71699999999999997</v>
      </c>
      <c r="AG36" s="3">
        <v>-0.71699999999999997</v>
      </c>
      <c r="AH36" s="3">
        <v>1.911</v>
      </c>
      <c r="AI36" s="3">
        <v>0.60399999999999998</v>
      </c>
      <c r="AJ36" s="3">
        <v>1.3069999999999999</v>
      </c>
      <c r="AK36" s="3">
        <v>2.0788000000000002</v>
      </c>
      <c r="AL36" s="4">
        <v>-15512</v>
      </c>
    </row>
    <row r="37" spans="1:38" x14ac:dyDescent="0.25">
      <c r="A37" s="12" t="s">
        <v>61</v>
      </c>
      <c r="B37" s="12" t="s">
        <v>46</v>
      </c>
      <c r="C37" s="2" t="s">
        <v>72</v>
      </c>
      <c r="D37" s="2" t="s">
        <v>72</v>
      </c>
      <c r="E37" s="3">
        <v>0.68700000000000006</v>
      </c>
      <c r="F37" s="3">
        <v>9.7000000000000003E-2</v>
      </c>
      <c r="G37" s="3">
        <v>0.20899999999999999</v>
      </c>
      <c r="H37" s="3">
        <v>0.185</v>
      </c>
      <c r="I37" s="4">
        <v>3</v>
      </c>
      <c r="J37" s="3">
        <v>2</v>
      </c>
      <c r="K37" s="4">
        <v>31</v>
      </c>
      <c r="L37" s="4">
        <v>0</v>
      </c>
      <c r="M37" s="4">
        <v>3918</v>
      </c>
      <c r="N37" s="4">
        <v>4376</v>
      </c>
      <c r="O37" s="3">
        <v>-0.104</v>
      </c>
      <c r="P37" s="4">
        <v>914</v>
      </c>
      <c r="Q37" s="4">
        <v>186</v>
      </c>
      <c r="R37" s="3">
        <v>3.9020000000000001</v>
      </c>
      <c r="S37" s="4">
        <v>304.56</v>
      </c>
      <c r="T37" s="3">
        <v>0.63400000000000001</v>
      </c>
      <c r="U37" s="4">
        <v>3216</v>
      </c>
      <c r="V37" s="3">
        <v>9.1999999999999998E-2</v>
      </c>
      <c r="W37" s="3">
        <v>0</v>
      </c>
      <c r="X37" s="3">
        <v>1.1359999999999999</v>
      </c>
      <c r="Y37" s="3">
        <v>1.1359999999999999</v>
      </c>
      <c r="Z37" s="3">
        <v>0.80300000000000005</v>
      </c>
      <c r="AA37" s="3">
        <v>0.33300000000000002</v>
      </c>
      <c r="AB37" s="3">
        <v>1.1359999999999999</v>
      </c>
      <c r="AC37" s="3">
        <v>0.80300000000000005</v>
      </c>
      <c r="AD37" s="3">
        <v>0.33300000000000002</v>
      </c>
      <c r="AE37" s="3">
        <v>10.766999999999999</v>
      </c>
      <c r="AF37" s="3">
        <v>0</v>
      </c>
      <c r="AG37" s="3">
        <v>10.766999999999999</v>
      </c>
      <c r="AH37" s="3">
        <v>1.387</v>
      </c>
      <c r="AI37" s="3">
        <v>1.0549999999999999</v>
      </c>
      <c r="AJ37" s="3">
        <v>0.33100000000000002</v>
      </c>
      <c r="AK37" s="3">
        <v>1.6332</v>
      </c>
      <c r="AL37" s="4">
        <v>-2036</v>
      </c>
    </row>
    <row r="38" spans="1:38" x14ac:dyDescent="0.25">
      <c r="A38" s="12" t="s">
        <v>61</v>
      </c>
      <c r="B38" s="12" t="s">
        <v>46</v>
      </c>
      <c r="C38" s="5" t="s">
        <v>42</v>
      </c>
      <c r="D38" s="5"/>
      <c r="E38" s="6">
        <v>1</v>
      </c>
      <c r="F38" s="6">
        <v>6.2E-2</v>
      </c>
      <c r="G38" s="6">
        <v>5.8000000000000003E-2</v>
      </c>
      <c r="H38" s="6">
        <v>0.04</v>
      </c>
      <c r="I38" s="7">
        <v>4</v>
      </c>
      <c r="J38" s="6">
        <v>-0.42899999999999999</v>
      </c>
      <c r="K38" s="7">
        <v>95</v>
      </c>
      <c r="L38" s="7">
        <v>-2</v>
      </c>
      <c r="M38" s="7">
        <v>21582</v>
      </c>
      <c r="N38" s="7">
        <v>20400</v>
      </c>
      <c r="O38" s="6">
        <v>5.8000000000000003E-2</v>
      </c>
      <c r="P38" s="7">
        <v>1184</v>
      </c>
      <c r="Q38" s="7">
        <v>3235</v>
      </c>
      <c r="R38" s="6">
        <v>-0.63400000000000001</v>
      </c>
      <c r="S38" s="7">
        <v>296.08999999999997</v>
      </c>
      <c r="T38" s="6">
        <v>-0.35899999999999999</v>
      </c>
      <c r="U38" s="7">
        <v>17595</v>
      </c>
      <c r="V38" s="6">
        <v>7.2999999999999995E-2</v>
      </c>
      <c r="W38" s="6">
        <v>0</v>
      </c>
      <c r="X38" s="6">
        <v>1.6539999999999999</v>
      </c>
      <c r="Y38" s="6">
        <v>1.6080000000000001</v>
      </c>
      <c r="Z38" s="6">
        <v>0.47199999999999998</v>
      </c>
      <c r="AA38" s="6">
        <v>1.1359999999999999</v>
      </c>
      <c r="AB38" s="6">
        <v>1.6080000000000001</v>
      </c>
      <c r="AC38" s="6">
        <v>0.47199999999999998</v>
      </c>
      <c r="AD38" s="6">
        <v>1.1359999999999999</v>
      </c>
      <c r="AE38" s="6">
        <v>8.6630000000000003</v>
      </c>
      <c r="AF38" s="6">
        <v>0.66100000000000003</v>
      </c>
      <c r="AG38" s="6">
        <v>8.0020000000000007</v>
      </c>
      <c r="AH38" s="6">
        <v>1.8149999999999999</v>
      </c>
      <c r="AI38" s="6">
        <v>0.68500000000000005</v>
      </c>
      <c r="AJ38" s="6">
        <v>1.1299999999999999</v>
      </c>
      <c r="AK38" s="6">
        <v>1.9973000000000001</v>
      </c>
      <c r="AL38" s="7">
        <v>-17548</v>
      </c>
    </row>
    <row r="39" spans="1:38" ht="33.75" x14ac:dyDescent="0.25">
      <c r="A39" s="12" t="s">
        <v>61</v>
      </c>
      <c r="B39" s="12" t="s">
        <v>73</v>
      </c>
      <c r="C39" s="2" t="s">
        <v>73</v>
      </c>
      <c r="D39" s="2" t="s">
        <v>74</v>
      </c>
      <c r="E39" s="3">
        <v>0.245</v>
      </c>
      <c r="F39" s="3">
        <v>0</v>
      </c>
      <c r="G39" s="3">
        <v>0.12</v>
      </c>
      <c r="H39" s="3">
        <v>0</v>
      </c>
      <c r="I39" s="4">
        <v>1</v>
      </c>
      <c r="J39" s="3">
        <v>-0.5</v>
      </c>
      <c r="K39" s="4">
        <v>10</v>
      </c>
      <c r="L39" s="4">
        <v>1</v>
      </c>
      <c r="M39" s="4">
        <v>1097</v>
      </c>
      <c r="N39" s="4">
        <v>3001</v>
      </c>
      <c r="O39" s="3">
        <v>-0.63400000000000001</v>
      </c>
      <c r="P39" s="4">
        <v>361</v>
      </c>
      <c r="Q39" s="4">
        <v>403</v>
      </c>
      <c r="R39" s="3">
        <v>-0.105</v>
      </c>
      <c r="S39" s="4">
        <v>361.2</v>
      </c>
      <c r="T39" s="3">
        <v>-5.8000000000000003E-2</v>
      </c>
      <c r="U39" s="4">
        <v>2129</v>
      </c>
      <c r="V39" s="3">
        <v>-0.29399999999999998</v>
      </c>
      <c r="W39" s="3">
        <v>0</v>
      </c>
      <c r="X39" s="3">
        <v>0</v>
      </c>
      <c r="Y39" s="3">
        <v>0.22</v>
      </c>
      <c r="Z39" s="3">
        <v>0.71799999999999997</v>
      </c>
      <c r="AA39" s="3">
        <v>-0.498</v>
      </c>
      <c r="AB39" s="3">
        <v>0.22</v>
      </c>
      <c r="AC39" s="3">
        <v>0.71799999999999997</v>
      </c>
      <c r="AD39" s="3">
        <v>-0.498</v>
      </c>
      <c r="AE39" s="3">
        <v>0</v>
      </c>
      <c r="AF39" s="3">
        <v>0</v>
      </c>
      <c r="AG39" s="3">
        <v>0</v>
      </c>
      <c r="AH39" s="3">
        <v>0.39500000000000002</v>
      </c>
      <c r="AI39" s="3">
        <v>0.89300000000000002</v>
      </c>
      <c r="AJ39" s="3">
        <v>-0.498</v>
      </c>
      <c r="AK39" s="3">
        <v>0.50619999999999998</v>
      </c>
      <c r="AL39" s="4">
        <v>1051</v>
      </c>
    </row>
    <row r="40" spans="1:38" x14ac:dyDescent="0.25">
      <c r="A40" s="12" t="s">
        <v>61</v>
      </c>
      <c r="B40" s="12" t="s">
        <v>73</v>
      </c>
      <c r="C40" s="5" t="s">
        <v>42</v>
      </c>
      <c r="D40" s="5"/>
      <c r="E40" s="6">
        <v>0.245</v>
      </c>
      <c r="F40" s="6">
        <v>0</v>
      </c>
      <c r="G40" s="6">
        <v>0.12</v>
      </c>
      <c r="H40" s="6">
        <v>0</v>
      </c>
      <c r="I40" s="7">
        <v>1</v>
      </c>
      <c r="J40" s="6">
        <v>-0.5</v>
      </c>
      <c r="K40" s="7">
        <v>10</v>
      </c>
      <c r="L40" s="7">
        <v>1</v>
      </c>
      <c r="M40" s="7">
        <v>1097</v>
      </c>
      <c r="N40" s="7">
        <v>3001</v>
      </c>
      <c r="O40" s="6">
        <v>-0.63400000000000001</v>
      </c>
      <c r="P40" s="7">
        <v>361</v>
      </c>
      <c r="Q40" s="7">
        <v>403</v>
      </c>
      <c r="R40" s="6">
        <v>-0.105</v>
      </c>
      <c r="S40" s="7">
        <v>361.2</v>
      </c>
      <c r="T40" s="6">
        <v>-5.8000000000000003E-2</v>
      </c>
      <c r="U40" s="7">
        <v>2129</v>
      </c>
      <c r="V40" s="6">
        <v>-0.29399999999999998</v>
      </c>
      <c r="W40" s="6">
        <v>0</v>
      </c>
      <c r="X40" s="6">
        <v>0</v>
      </c>
      <c r="Y40" s="6">
        <v>0.22</v>
      </c>
      <c r="Z40" s="6">
        <v>0.71799999999999997</v>
      </c>
      <c r="AA40" s="6">
        <v>-0.498</v>
      </c>
      <c r="AB40" s="6">
        <v>0.22</v>
      </c>
      <c r="AC40" s="6">
        <v>0.71799999999999997</v>
      </c>
      <c r="AD40" s="6">
        <v>-0.498</v>
      </c>
      <c r="AE40" s="6">
        <v>0</v>
      </c>
      <c r="AF40" s="6">
        <v>0</v>
      </c>
      <c r="AG40" s="6">
        <v>0</v>
      </c>
      <c r="AH40" s="6">
        <v>0.39500000000000002</v>
      </c>
      <c r="AI40" s="6">
        <v>0.89300000000000002</v>
      </c>
      <c r="AJ40" s="6">
        <v>-0.498</v>
      </c>
      <c r="AK40" s="6">
        <v>0.50619999999999998</v>
      </c>
      <c r="AL40" s="7">
        <v>1051</v>
      </c>
    </row>
    <row r="41" spans="1:38" x14ac:dyDescent="0.25">
      <c r="A41" s="12" t="s">
        <v>61</v>
      </c>
      <c r="B41" s="5" t="s">
        <v>42</v>
      </c>
      <c r="C41" s="5"/>
      <c r="D41" s="5"/>
      <c r="E41" s="6">
        <v>0.85599999999999998</v>
      </c>
      <c r="F41" s="6">
        <v>6.3E-2</v>
      </c>
      <c r="G41" s="6">
        <v>0.13300000000000001</v>
      </c>
      <c r="H41" s="6">
        <v>0.122</v>
      </c>
      <c r="I41" s="7">
        <v>28</v>
      </c>
      <c r="J41" s="6">
        <v>-0.34899999999999998</v>
      </c>
      <c r="K41" s="7">
        <v>370</v>
      </c>
      <c r="L41" s="7">
        <v>5</v>
      </c>
      <c r="M41" s="7">
        <v>97471</v>
      </c>
      <c r="N41" s="7">
        <v>98575</v>
      </c>
      <c r="O41" s="6">
        <v>-1.0999999999999999E-2</v>
      </c>
      <c r="P41" s="7">
        <v>13072</v>
      </c>
      <c r="Q41" s="7">
        <v>15734</v>
      </c>
      <c r="R41" s="6">
        <v>-0.16900000000000001</v>
      </c>
      <c r="S41" s="7">
        <v>501.44</v>
      </c>
      <c r="T41" s="6">
        <v>0.251</v>
      </c>
      <c r="U41" s="7">
        <v>82584</v>
      </c>
      <c r="V41" s="6">
        <v>-7.0000000000000007E-2</v>
      </c>
      <c r="W41" s="6">
        <v>1.2E-2</v>
      </c>
      <c r="X41" s="6">
        <v>0.879</v>
      </c>
      <c r="Y41" s="6">
        <v>0.998</v>
      </c>
      <c r="Z41" s="6">
        <v>0.73399999999999999</v>
      </c>
      <c r="AA41" s="6">
        <v>0.26400000000000001</v>
      </c>
      <c r="AB41" s="6">
        <v>0.998</v>
      </c>
      <c r="AC41" s="6">
        <v>0.73299999999999998</v>
      </c>
      <c r="AD41" s="6">
        <v>0.26500000000000001</v>
      </c>
      <c r="AE41" s="6">
        <v>0.66600000000000004</v>
      </c>
      <c r="AF41" s="6">
        <v>0.73199999999999998</v>
      </c>
      <c r="AG41" s="6">
        <v>-6.6000000000000003E-2</v>
      </c>
      <c r="AH41" s="6">
        <v>1.179</v>
      </c>
      <c r="AI41" s="6">
        <v>0.91</v>
      </c>
      <c r="AJ41" s="6">
        <v>0.26900000000000002</v>
      </c>
      <c r="AK41" s="6">
        <v>1.3232999999999999</v>
      </c>
      <c r="AL41" s="7">
        <v>-26703</v>
      </c>
    </row>
    <row r="42" spans="1:38" x14ac:dyDescent="0.25">
      <c r="A42" s="2" t="s">
        <v>75</v>
      </c>
      <c r="B42" s="2" t="s">
        <v>75</v>
      </c>
      <c r="C42" s="2" t="s">
        <v>75</v>
      </c>
      <c r="D42" s="2" t="s">
        <v>75</v>
      </c>
      <c r="E42" s="6">
        <v>0.92900000000000005</v>
      </c>
      <c r="F42" s="6">
        <v>5.3999999999999999E-2</v>
      </c>
      <c r="G42" s="6">
        <v>0.122</v>
      </c>
      <c r="H42" s="6">
        <v>9.0999999999999998E-2</v>
      </c>
      <c r="I42" s="7">
        <v>295</v>
      </c>
      <c r="J42" s="6">
        <v>0.17499999999999999</v>
      </c>
      <c r="K42" s="7">
        <v>4054</v>
      </c>
      <c r="L42" s="7">
        <v>79</v>
      </c>
      <c r="M42" s="7">
        <v>657986</v>
      </c>
      <c r="N42" s="7">
        <v>626126</v>
      </c>
      <c r="O42" s="6">
        <v>5.0999999999999997E-2</v>
      </c>
      <c r="P42" s="7">
        <v>76570</v>
      </c>
      <c r="Q42" s="7">
        <v>78176</v>
      </c>
      <c r="R42" s="6">
        <v>-2.1000000000000001E-2</v>
      </c>
      <c r="S42" s="7">
        <v>268.33</v>
      </c>
      <c r="T42" s="6">
        <v>-0.19800000000000001</v>
      </c>
      <c r="U42" s="7">
        <v>555697</v>
      </c>
      <c r="V42" s="6">
        <v>1.4E-2</v>
      </c>
      <c r="W42" s="6">
        <v>7.0000000000000001E-3</v>
      </c>
      <c r="X42" s="6">
        <v>0.745</v>
      </c>
      <c r="Y42" s="6">
        <v>0.78500000000000003</v>
      </c>
      <c r="Z42" s="6">
        <v>0.625</v>
      </c>
      <c r="AA42" s="6">
        <v>0.16</v>
      </c>
      <c r="AB42" s="6">
        <v>0.78500000000000003</v>
      </c>
      <c r="AC42" s="6">
        <v>0.624</v>
      </c>
      <c r="AD42" s="6">
        <v>0.161</v>
      </c>
      <c r="AE42" s="6">
        <v>1.2030000000000001</v>
      </c>
      <c r="AF42" s="6">
        <v>0.63200000000000001</v>
      </c>
      <c r="AG42" s="6">
        <v>0.57099999999999995</v>
      </c>
      <c r="AH42" s="6">
        <v>0.90600000000000003</v>
      </c>
      <c r="AI42" s="6">
        <v>0.747</v>
      </c>
      <c r="AJ42" s="6">
        <v>0.159</v>
      </c>
      <c r="AK42" s="6">
        <v>1.0734999999999999</v>
      </c>
      <c r="AL42" s="7">
        <v>-40867</v>
      </c>
    </row>
    <row r="44" spans="1:38" x14ac:dyDescent="0.25">
      <c r="A44" t="s">
        <v>76</v>
      </c>
      <c r="B44" t="s">
        <v>76</v>
      </c>
      <c r="C44" t="s">
        <v>76</v>
      </c>
    </row>
    <row r="45" spans="1:38" x14ac:dyDescent="0.25">
      <c r="A45" s="9" t="s">
        <v>103</v>
      </c>
      <c r="B45" s="9" t="s">
        <v>106</v>
      </c>
    </row>
  </sheetData>
  <mergeCells count="18">
    <mergeCell ref="B32:B33"/>
    <mergeCell ref="B39:B40"/>
    <mergeCell ref="C19:C20"/>
    <mergeCell ref="A4:AL4"/>
    <mergeCell ref="A5:AL5"/>
    <mergeCell ref="A7:A25"/>
    <mergeCell ref="A26:A41"/>
    <mergeCell ref="B7:B9"/>
    <mergeCell ref="B10:B11"/>
    <mergeCell ref="B12:B13"/>
    <mergeCell ref="B14:B15"/>
    <mergeCell ref="B34:B35"/>
    <mergeCell ref="B36:B38"/>
    <mergeCell ref="B16:B22"/>
    <mergeCell ref="B23:B24"/>
    <mergeCell ref="B26:B27"/>
    <mergeCell ref="B28:B29"/>
    <mergeCell ref="B30:B31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E56C-651B-4B53-9DE0-B5AD71D3AEBA}">
  <dimension ref="A4:AL46"/>
  <sheetViews>
    <sheetView topLeftCell="X33" workbookViewId="0">
      <selection activeCell="J15" sqref="J15"/>
    </sheetView>
  </sheetViews>
  <sheetFormatPr baseColWidth="10" defaultRowHeight="15" x14ac:dyDescent="0.25"/>
  <sheetData>
    <row r="4" spans="1:38" x14ac:dyDescent="0.25">
      <c r="A4" s="10" t="s">
        <v>105</v>
      </c>
      <c r="B4" s="10" t="s">
        <v>105</v>
      </c>
      <c r="C4" s="10" t="s">
        <v>105</v>
      </c>
      <c r="D4" s="10" t="s">
        <v>105</v>
      </c>
      <c r="E4" s="10" t="s">
        <v>105</v>
      </c>
      <c r="F4" s="10" t="s">
        <v>105</v>
      </c>
      <c r="G4" s="10" t="s">
        <v>105</v>
      </c>
      <c r="H4" s="10" t="s">
        <v>105</v>
      </c>
      <c r="I4" s="10" t="s">
        <v>105</v>
      </c>
      <c r="J4" s="10" t="s">
        <v>105</v>
      </c>
      <c r="K4" s="10" t="s">
        <v>105</v>
      </c>
      <c r="L4" s="10" t="s">
        <v>105</v>
      </c>
      <c r="M4" s="10" t="s">
        <v>105</v>
      </c>
      <c r="N4" s="10" t="s">
        <v>105</v>
      </c>
      <c r="O4" s="10" t="s">
        <v>105</v>
      </c>
      <c r="P4" s="10" t="s">
        <v>105</v>
      </c>
      <c r="Q4" s="10" t="s">
        <v>105</v>
      </c>
      <c r="R4" s="10" t="s">
        <v>105</v>
      </c>
      <c r="S4" s="10" t="s">
        <v>105</v>
      </c>
      <c r="T4" s="10" t="s">
        <v>105</v>
      </c>
      <c r="U4" s="10" t="s">
        <v>105</v>
      </c>
      <c r="V4" s="10" t="s">
        <v>105</v>
      </c>
      <c r="W4" s="10" t="s">
        <v>105</v>
      </c>
      <c r="X4" s="10" t="s">
        <v>105</v>
      </c>
      <c r="Y4" s="10" t="s">
        <v>105</v>
      </c>
      <c r="Z4" s="10" t="s">
        <v>105</v>
      </c>
      <c r="AA4" s="10" t="s">
        <v>105</v>
      </c>
      <c r="AB4" s="10" t="s">
        <v>105</v>
      </c>
      <c r="AC4" s="10" t="s">
        <v>105</v>
      </c>
      <c r="AD4" s="10" t="s">
        <v>105</v>
      </c>
      <c r="AE4" s="10" t="s">
        <v>105</v>
      </c>
      <c r="AF4" s="10" t="s">
        <v>105</v>
      </c>
      <c r="AG4" s="10" t="s">
        <v>105</v>
      </c>
      <c r="AH4" s="10" t="s">
        <v>105</v>
      </c>
      <c r="AI4" s="10" t="s">
        <v>105</v>
      </c>
      <c r="AJ4" s="10" t="s">
        <v>105</v>
      </c>
      <c r="AK4" s="10" t="s">
        <v>105</v>
      </c>
      <c r="AL4" s="10" t="s">
        <v>105</v>
      </c>
    </row>
    <row r="5" spans="1:38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 t="s">
        <v>1</v>
      </c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92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0.99399999999999999</v>
      </c>
      <c r="F7" s="3">
        <v>3.6999999999999998E-2</v>
      </c>
      <c r="G7" s="3">
        <v>0.11600000000000001</v>
      </c>
      <c r="H7" s="3">
        <v>0.10100000000000001</v>
      </c>
      <c r="I7" s="4">
        <v>4</v>
      </c>
      <c r="J7" s="8"/>
      <c r="K7" s="4">
        <v>30</v>
      </c>
      <c r="L7" s="4">
        <v>3</v>
      </c>
      <c r="M7" s="4">
        <v>4920</v>
      </c>
      <c r="N7" s="4">
        <v>4433</v>
      </c>
      <c r="O7" s="3">
        <v>0.11</v>
      </c>
      <c r="P7" s="4">
        <v>515</v>
      </c>
      <c r="Q7" s="4">
        <v>0</v>
      </c>
      <c r="R7" s="8"/>
      <c r="S7" s="4">
        <v>128.66</v>
      </c>
      <c r="T7" s="8"/>
      <c r="U7" s="4">
        <v>3372</v>
      </c>
      <c r="V7" s="3">
        <v>1E-3</v>
      </c>
      <c r="W7" s="3">
        <v>1.6E-2</v>
      </c>
      <c r="X7" s="3">
        <v>0</v>
      </c>
      <c r="Y7" s="3">
        <v>0.14499999999999999</v>
      </c>
      <c r="Z7" s="3">
        <v>0.14499999999999999</v>
      </c>
      <c r="AA7" s="3">
        <v>0</v>
      </c>
      <c r="AB7" s="3">
        <v>0.14499999999999999</v>
      </c>
      <c r="AC7" s="3">
        <v>0.14499999999999999</v>
      </c>
      <c r="AD7" s="3">
        <v>0</v>
      </c>
      <c r="AE7" s="3">
        <v>0</v>
      </c>
      <c r="AF7" s="8"/>
      <c r="AG7" s="8"/>
      <c r="AH7" s="3">
        <v>0.36499999999999999</v>
      </c>
      <c r="AI7" s="3">
        <v>0.37</v>
      </c>
      <c r="AJ7" s="3">
        <v>-5.0000000000000001E-3</v>
      </c>
      <c r="AK7" s="3">
        <v>0.53449999999999998</v>
      </c>
      <c r="AL7" s="4">
        <v>1570</v>
      </c>
    </row>
    <row r="8" spans="1:38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1.0109999999999999</v>
      </c>
      <c r="F8" s="3">
        <v>0.02</v>
      </c>
      <c r="G8" s="3">
        <v>0</v>
      </c>
      <c r="H8" s="3">
        <v>0</v>
      </c>
      <c r="I8" s="4">
        <v>0</v>
      </c>
      <c r="J8" s="3">
        <v>-1</v>
      </c>
      <c r="K8" s="4">
        <v>48</v>
      </c>
      <c r="L8" s="4">
        <v>-1</v>
      </c>
      <c r="M8" s="4">
        <v>5026</v>
      </c>
      <c r="N8" s="4">
        <v>4970</v>
      </c>
      <c r="O8" s="3">
        <v>1.0999999999999999E-2</v>
      </c>
      <c r="P8" s="4">
        <v>0</v>
      </c>
      <c r="Q8" s="4">
        <v>333</v>
      </c>
      <c r="R8" s="3">
        <v>-1</v>
      </c>
      <c r="S8" s="8"/>
      <c r="T8" s="8"/>
      <c r="U8" s="4">
        <v>4276</v>
      </c>
      <c r="V8" s="3">
        <v>9.8000000000000004E-2</v>
      </c>
      <c r="W8" s="3">
        <v>0</v>
      </c>
      <c r="X8" s="3">
        <v>0</v>
      </c>
      <c r="Y8" s="3">
        <v>-4.0000000000000001E-3</v>
      </c>
      <c r="Z8" s="3">
        <v>-4.0000000000000001E-3</v>
      </c>
      <c r="AA8" s="3">
        <v>0</v>
      </c>
      <c r="AB8" s="3">
        <v>-4.0000000000000001E-3</v>
      </c>
      <c r="AC8" s="3">
        <v>-4.0000000000000001E-3</v>
      </c>
      <c r="AD8" s="3">
        <v>0</v>
      </c>
      <c r="AE8" s="8"/>
      <c r="AF8" s="3">
        <v>0</v>
      </c>
      <c r="AG8" s="8"/>
      <c r="AH8" s="3">
        <v>0.25700000000000001</v>
      </c>
      <c r="AI8" s="3">
        <v>0.26900000000000002</v>
      </c>
      <c r="AJ8" s="3">
        <v>-1.2999999999999999E-2</v>
      </c>
      <c r="AK8" s="3">
        <v>0.61899999999999999</v>
      </c>
      <c r="AL8" s="4">
        <v>1629</v>
      </c>
    </row>
    <row r="9" spans="1:38" x14ac:dyDescent="0.25">
      <c r="A9" s="12" t="s">
        <v>37</v>
      </c>
      <c r="B9" s="12" t="s">
        <v>38</v>
      </c>
      <c r="C9" s="5" t="s">
        <v>42</v>
      </c>
      <c r="D9" s="5"/>
      <c r="E9" s="6">
        <v>1.0029999999999999</v>
      </c>
      <c r="F9" s="6">
        <v>2.5999999999999999E-2</v>
      </c>
      <c r="G9" s="6">
        <v>5.5E-2</v>
      </c>
      <c r="H9" s="6">
        <v>4.8000000000000001E-2</v>
      </c>
      <c r="I9" s="7">
        <v>4</v>
      </c>
      <c r="J9" s="6">
        <v>1</v>
      </c>
      <c r="K9" s="7">
        <v>78</v>
      </c>
      <c r="L9" s="7">
        <v>2</v>
      </c>
      <c r="M9" s="7">
        <v>9946</v>
      </c>
      <c r="N9" s="7">
        <v>9402</v>
      </c>
      <c r="O9" s="6">
        <v>5.8000000000000003E-2</v>
      </c>
      <c r="P9" s="7">
        <v>515</v>
      </c>
      <c r="Q9" s="7">
        <v>333</v>
      </c>
      <c r="R9" s="6">
        <v>0.54700000000000004</v>
      </c>
      <c r="S9" s="7">
        <v>128.66</v>
      </c>
      <c r="T9" s="6">
        <v>-0.22600000000000001</v>
      </c>
      <c r="U9" s="7">
        <v>7648</v>
      </c>
      <c r="V9" s="6">
        <v>5.2999999999999999E-2</v>
      </c>
      <c r="W9" s="6">
        <v>7.0000000000000001E-3</v>
      </c>
      <c r="X9" s="6">
        <v>0</v>
      </c>
      <c r="Y9" s="6">
        <v>6.2E-2</v>
      </c>
      <c r="Z9" s="6">
        <v>6.5000000000000002E-2</v>
      </c>
      <c r="AA9" s="6">
        <v>-3.0000000000000001E-3</v>
      </c>
      <c r="AB9" s="6">
        <v>6.2E-2</v>
      </c>
      <c r="AC9" s="6">
        <v>6.5000000000000002E-2</v>
      </c>
      <c r="AD9" s="6">
        <v>-3.0000000000000001E-3</v>
      </c>
      <c r="AE9" s="6">
        <v>0</v>
      </c>
      <c r="AF9" s="6">
        <v>0</v>
      </c>
      <c r="AG9" s="6">
        <v>0</v>
      </c>
      <c r="AH9" s="6">
        <v>0.30499999999999999</v>
      </c>
      <c r="AI9" s="6">
        <v>0.316</v>
      </c>
      <c r="AJ9" s="6">
        <v>-1.0999999999999999E-2</v>
      </c>
      <c r="AK9" s="6">
        <v>0.58169999999999999</v>
      </c>
      <c r="AL9" s="7">
        <v>3199</v>
      </c>
    </row>
    <row r="10" spans="1:38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0.92</v>
      </c>
      <c r="F10" s="3">
        <v>7.1999999999999995E-2</v>
      </c>
      <c r="G10" s="3">
        <v>0.121</v>
      </c>
      <c r="H10" s="3">
        <v>8.6999999999999994E-2</v>
      </c>
      <c r="I10" s="4">
        <v>250</v>
      </c>
      <c r="J10" s="3">
        <v>0.38900000000000001</v>
      </c>
      <c r="K10" s="4">
        <v>2705</v>
      </c>
      <c r="L10" s="4">
        <v>60</v>
      </c>
      <c r="M10" s="4">
        <v>539709</v>
      </c>
      <c r="N10" s="4">
        <v>518620</v>
      </c>
      <c r="O10" s="3">
        <v>4.1000000000000002E-2</v>
      </c>
      <c r="P10" s="4">
        <v>62582</v>
      </c>
      <c r="Q10" s="4">
        <v>60166</v>
      </c>
      <c r="R10" s="3">
        <v>0.04</v>
      </c>
      <c r="S10" s="4">
        <v>256</v>
      </c>
      <c r="T10" s="3">
        <v>-0.27400000000000002</v>
      </c>
      <c r="U10" s="4">
        <v>464369</v>
      </c>
      <c r="V10" s="3">
        <v>1.9E-2</v>
      </c>
      <c r="W10" s="3">
        <v>8.0000000000000002E-3</v>
      </c>
      <c r="X10" s="3">
        <v>0.81100000000000005</v>
      </c>
      <c r="Y10" s="3">
        <v>0.82199999999999995</v>
      </c>
      <c r="Z10" s="3">
        <v>0.623</v>
      </c>
      <c r="AA10" s="3">
        <v>0.19900000000000001</v>
      </c>
      <c r="AB10" s="3">
        <v>0.82199999999999995</v>
      </c>
      <c r="AC10" s="3">
        <v>0.623</v>
      </c>
      <c r="AD10" s="3">
        <v>0.19900000000000001</v>
      </c>
      <c r="AE10" s="3">
        <v>0.84199999999999997</v>
      </c>
      <c r="AF10" s="3">
        <v>0.54700000000000004</v>
      </c>
      <c r="AG10" s="3">
        <v>0.29499999999999998</v>
      </c>
      <c r="AH10" s="3">
        <v>0.90900000000000003</v>
      </c>
      <c r="AI10" s="3">
        <v>0.71</v>
      </c>
      <c r="AJ10" s="3">
        <v>0.19900000000000001</v>
      </c>
      <c r="AK10" s="3">
        <v>1.0781000000000001</v>
      </c>
      <c r="AL10" s="4">
        <v>-36245</v>
      </c>
    </row>
    <row r="11" spans="1:38" x14ac:dyDescent="0.25">
      <c r="A11" s="12" t="s">
        <v>37</v>
      </c>
      <c r="B11" s="12" t="s">
        <v>43</v>
      </c>
      <c r="C11" s="5" t="s">
        <v>42</v>
      </c>
      <c r="D11" s="5"/>
      <c r="E11" s="6">
        <v>0.92</v>
      </c>
      <c r="F11" s="6">
        <v>7.1999999999999995E-2</v>
      </c>
      <c r="G11" s="6">
        <v>0.121</v>
      </c>
      <c r="H11" s="6">
        <v>8.6999999999999994E-2</v>
      </c>
      <c r="I11" s="7">
        <v>250</v>
      </c>
      <c r="J11" s="6">
        <v>0.38900000000000001</v>
      </c>
      <c r="K11" s="7">
        <v>2705</v>
      </c>
      <c r="L11" s="7">
        <v>60</v>
      </c>
      <c r="M11" s="7">
        <v>539709</v>
      </c>
      <c r="N11" s="7">
        <v>518620</v>
      </c>
      <c r="O11" s="6">
        <v>4.1000000000000002E-2</v>
      </c>
      <c r="P11" s="7">
        <v>62582</v>
      </c>
      <c r="Q11" s="7">
        <v>60166</v>
      </c>
      <c r="R11" s="6">
        <v>0.04</v>
      </c>
      <c r="S11" s="7">
        <v>256</v>
      </c>
      <c r="T11" s="6">
        <v>-0.27400000000000002</v>
      </c>
      <c r="U11" s="7">
        <v>464369</v>
      </c>
      <c r="V11" s="6">
        <v>1.9E-2</v>
      </c>
      <c r="W11" s="6">
        <v>8.0000000000000002E-3</v>
      </c>
      <c r="X11" s="6">
        <v>0.81100000000000005</v>
      </c>
      <c r="Y11" s="6">
        <v>0.82199999999999995</v>
      </c>
      <c r="Z11" s="6">
        <v>0.623</v>
      </c>
      <c r="AA11" s="6">
        <v>0.19900000000000001</v>
      </c>
      <c r="AB11" s="6">
        <v>0.82199999999999995</v>
      </c>
      <c r="AC11" s="6">
        <v>0.623</v>
      </c>
      <c r="AD11" s="6">
        <v>0.19900000000000001</v>
      </c>
      <c r="AE11" s="6">
        <v>0.84199999999999997</v>
      </c>
      <c r="AF11" s="6">
        <v>0.54700000000000004</v>
      </c>
      <c r="AG11" s="6">
        <v>0.29499999999999998</v>
      </c>
      <c r="AH11" s="6">
        <v>0.90900000000000003</v>
      </c>
      <c r="AI11" s="6">
        <v>0.71</v>
      </c>
      <c r="AJ11" s="6">
        <v>0.19900000000000001</v>
      </c>
      <c r="AK11" s="6">
        <v>1.0781000000000001</v>
      </c>
      <c r="AL11" s="7">
        <v>-36245</v>
      </c>
    </row>
    <row r="12" spans="1:38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0.92600000000000005</v>
      </c>
      <c r="F12" s="3">
        <v>5.1999999999999998E-2</v>
      </c>
      <c r="G12" s="3">
        <v>0.1</v>
      </c>
      <c r="H12" s="3">
        <v>5.3999999999999999E-2</v>
      </c>
      <c r="I12" s="4">
        <v>41</v>
      </c>
      <c r="J12" s="3">
        <v>-0.14599999999999999</v>
      </c>
      <c r="K12" s="4">
        <v>795</v>
      </c>
      <c r="L12" s="4">
        <v>0</v>
      </c>
      <c r="M12" s="4">
        <v>85996</v>
      </c>
      <c r="N12" s="4">
        <v>83825</v>
      </c>
      <c r="O12" s="3">
        <v>2.5999999999999999E-2</v>
      </c>
      <c r="P12" s="4">
        <v>8373</v>
      </c>
      <c r="Q12" s="4">
        <v>8701</v>
      </c>
      <c r="R12" s="3">
        <v>-3.7999999999999999E-2</v>
      </c>
      <c r="S12" s="4">
        <v>204.22</v>
      </c>
      <c r="T12" s="3">
        <v>0.127</v>
      </c>
      <c r="U12" s="4">
        <v>83589</v>
      </c>
      <c r="V12" s="3">
        <v>4.2000000000000003E-2</v>
      </c>
      <c r="W12" s="3">
        <v>2E-3</v>
      </c>
      <c r="X12" s="3">
        <v>0.48</v>
      </c>
      <c r="Y12" s="3">
        <v>0.53800000000000003</v>
      </c>
      <c r="Z12" s="3">
        <v>0.66700000000000004</v>
      </c>
      <c r="AA12" s="3">
        <v>-0.129</v>
      </c>
      <c r="AB12" s="3">
        <v>0.53800000000000003</v>
      </c>
      <c r="AC12" s="3">
        <v>0.65700000000000003</v>
      </c>
      <c r="AD12" s="3">
        <v>-0.11899999999999999</v>
      </c>
      <c r="AE12" s="3">
        <v>0.95499999999999996</v>
      </c>
      <c r="AF12" s="3">
        <v>0.73099999999999998</v>
      </c>
      <c r="AG12" s="3">
        <v>0.224</v>
      </c>
      <c r="AH12" s="3">
        <v>0.75800000000000001</v>
      </c>
      <c r="AI12" s="3">
        <v>0.88700000000000001</v>
      </c>
      <c r="AJ12" s="3">
        <v>-0.129</v>
      </c>
      <c r="AK12" s="3">
        <v>0.92769999999999997</v>
      </c>
      <c r="AL12" s="4">
        <v>6045</v>
      </c>
    </row>
    <row r="13" spans="1:38" x14ac:dyDescent="0.25">
      <c r="A13" s="12" t="s">
        <v>37</v>
      </c>
      <c r="B13" s="12" t="s">
        <v>45</v>
      </c>
      <c r="C13" s="5" t="s">
        <v>42</v>
      </c>
      <c r="D13" s="5"/>
      <c r="E13" s="6">
        <v>0.92600000000000005</v>
      </c>
      <c r="F13" s="6">
        <v>5.1999999999999998E-2</v>
      </c>
      <c r="G13" s="6">
        <v>0.1</v>
      </c>
      <c r="H13" s="6">
        <v>5.3999999999999999E-2</v>
      </c>
      <c r="I13" s="7">
        <v>41</v>
      </c>
      <c r="J13" s="6">
        <v>-0.14599999999999999</v>
      </c>
      <c r="K13" s="7">
        <v>795</v>
      </c>
      <c r="L13" s="7">
        <v>0</v>
      </c>
      <c r="M13" s="7">
        <v>85996</v>
      </c>
      <c r="N13" s="7">
        <v>83825</v>
      </c>
      <c r="O13" s="6">
        <v>2.5999999999999999E-2</v>
      </c>
      <c r="P13" s="7">
        <v>8373</v>
      </c>
      <c r="Q13" s="7">
        <v>8701</v>
      </c>
      <c r="R13" s="6">
        <v>-3.7999999999999999E-2</v>
      </c>
      <c r="S13" s="7">
        <v>204.22</v>
      </c>
      <c r="T13" s="6">
        <v>0.127</v>
      </c>
      <c r="U13" s="7">
        <v>83589</v>
      </c>
      <c r="V13" s="6">
        <v>4.2000000000000003E-2</v>
      </c>
      <c r="W13" s="6">
        <v>2E-3</v>
      </c>
      <c r="X13" s="6">
        <v>0.48</v>
      </c>
      <c r="Y13" s="6">
        <v>0.53800000000000003</v>
      </c>
      <c r="Z13" s="6">
        <v>0.66700000000000004</v>
      </c>
      <c r="AA13" s="6">
        <v>-0.129</v>
      </c>
      <c r="AB13" s="6">
        <v>0.53800000000000003</v>
      </c>
      <c r="AC13" s="6">
        <v>0.65700000000000003</v>
      </c>
      <c r="AD13" s="6">
        <v>-0.11899999999999999</v>
      </c>
      <c r="AE13" s="6">
        <v>0.95499999999999996</v>
      </c>
      <c r="AF13" s="6">
        <v>0.73099999999999998</v>
      </c>
      <c r="AG13" s="6">
        <v>0.224</v>
      </c>
      <c r="AH13" s="6">
        <v>0.75800000000000001</v>
      </c>
      <c r="AI13" s="6">
        <v>0.88700000000000001</v>
      </c>
      <c r="AJ13" s="6">
        <v>-0.129</v>
      </c>
      <c r="AK13" s="6">
        <v>0.92769999999999997</v>
      </c>
      <c r="AL13" s="7">
        <v>6045</v>
      </c>
    </row>
    <row r="14" spans="1:38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1.002</v>
      </c>
      <c r="F14" s="3">
        <v>4.2000000000000003E-2</v>
      </c>
      <c r="G14" s="3">
        <v>0</v>
      </c>
      <c r="H14" s="3">
        <v>0</v>
      </c>
      <c r="I14" s="4">
        <v>0</v>
      </c>
      <c r="J14" s="3">
        <v>-1</v>
      </c>
      <c r="K14" s="4">
        <v>23</v>
      </c>
      <c r="L14" s="4">
        <v>-1</v>
      </c>
      <c r="M14" s="4">
        <v>8287</v>
      </c>
      <c r="N14" s="4">
        <v>8274</v>
      </c>
      <c r="O14" s="3">
        <v>2E-3</v>
      </c>
      <c r="P14" s="4">
        <v>0</v>
      </c>
      <c r="Q14" s="4">
        <v>997</v>
      </c>
      <c r="R14" s="3">
        <v>-1</v>
      </c>
      <c r="S14" s="8"/>
      <c r="T14" s="8"/>
      <c r="U14" s="4">
        <v>8620</v>
      </c>
      <c r="V14" s="3">
        <v>0.03</v>
      </c>
      <c r="W14" s="3">
        <v>0</v>
      </c>
      <c r="X14" s="3">
        <v>1.41</v>
      </c>
      <c r="Y14" s="3">
        <v>1.4890000000000001</v>
      </c>
      <c r="Z14" s="3">
        <v>0.58199999999999996</v>
      </c>
      <c r="AA14" s="3">
        <v>0.90700000000000003</v>
      </c>
      <c r="AB14" s="3">
        <v>1.4890000000000001</v>
      </c>
      <c r="AC14" s="3">
        <v>0.58199999999999996</v>
      </c>
      <c r="AD14" s="3">
        <v>0.90700000000000003</v>
      </c>
      <c r="AE14" s="8"/>
      <c r="AF14" s="3">
        <v>0</v>
      </c>
      <c r="AG14" s="8"/>
      <c r="AH14" s="3">
        <v>1.6890000000000001</v>
      </c>
      <c r="AI14" s="3">
        <v>0.78200000000000003</v>
      </c>
      <c r="AJ14" s="3">
        <v>0.90700000000000003</v>
      </c>
      <c r="AK14" s="3">
        <v>1.8805000000000001</v>
      </c>
      <c r="AL14" s="4">
        <v>-7590</v>
      </c>
    </row>
    <row r="15" spans="1:38" x14ac:dyDescent="0.25">
      <c r="A15" s="12" t="s">
        <v>37</v>
      </c>
      <c r="B15" s="12" t="s">
        <v>46</v>
      </c>
      <c r="C15" s="5" t="s">
        <v>42</v>
      </c>
      <c r="D15" s="5"/>
      <c r="E15" s="6">
        <v>1.002</v>
      </c>
      <c r="F15" s="6">
        <v>4.2000000000000003E-2</v>
      </c>
      <c r="G15" s="6">
        <v>0</v>
      </c>
      <c r="H15" s="6">
        <v>0</v>
      </c>
      <c r="I15" s="7">
        <v>0</v>
      </c>
      <c r="J15" s="6">
        <v>-1</v>
      </c>
      <c r="K15" s="7">
        <v>23</v>
      </c>
      <c r="L15" s="7">
        <v>-1</v>
      </c>
      <c r="M15" s="7">
        <v>8287</v>
      </c>
      <c r="N15" s="7">
        <v>8274</v>
      </c>
      <c r="O15" s="6">
        <v>2E-3</v>
      </c>
      <c r="P15" s="7">
        <v>0</v>
      </c>
      <c r="Q15" s="7">
        <v>997</v>
      </c>
      <c r="R15" s="6">
        <v>-1</v>
      </c>
      <c r="S15" s="5"/>
      <c r="T15" s="5"/>
      <c r="U15" s="7">
        <v>8620</v>
      </c>
      <c r="V15" s="6">
        <v>0.03</v>
      </c>
      <c r="W15" s="6">
        <v>0</v>
      </c>
      <c r="X15" s="6">
        <v>1.41</v>
      </c>
      <c r="Y15" s="6">
        <v>1.4890000000000001</v>
      </c>
      <c r="Z15" s="6">
        <v>0.58199999999999996</v>
      </c>
      <c r="AA15" s="6">
        <v>0.90700000000000003</v>
      </c>
      <c r="AB15" s="6">
        <v>1.4890000000000001</v>
      </c>
      <c r="AC15" s="6">
        <v>0.58199999999999996</v>
      </c>
      <c r="AD15" s="6">
        <v>0.90700000000000003</v>
      </c>
      <c r="AE15" s="5"/>
      <c r="AF15" s="6">
        <v>0</v>
      </c>
      <c r="AG15" s="5"/>
      <c r="AH15" s="6">
        <v>1.6890000000000001</v>
      </c>
      <c r="AI15" s="6">
        <v>0.78200000000000003</v>
      </c>
      <c r="AJ15" s="6">
        <v>0.90700000000000003</v>
      </c>
      <c r="AK15" s="6">
        <v>1.8805000000000001</v>
      </c>
      <c r="AL15" s="7">
        <v>-7590</v>
      </c>
    </row>
    <row r="16" spans="1:38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5</v>
      </c>
      <c r="G16" s="3">
        <v>0.38500000000000001</v>
      </c>
      <c r="H16" s="3">
        <v>0.191</v>
      </c>
      <c r="I16" s="4">
        <v>6</v>
      </c>
      <c r="J16" s="3">
        <v>0</v>
      </c>
      <c r="K16" s="4">
        <v>2</v>
      </c>
      <c r="L16" s="4">
        <v>1</v>
      </c>
      <c r="M16" s="4">
        <v>455</v>
      </c>
      <c r="N16" s="4">
        <v>1183</v>
      </c>
      <c r="O16" s="3">
        <v>-0.61499999999999999</v>
      </c>
      <c r="P16" s="4">
        <v>455</v>
      </c>
      <c r="Q16" s="4">
        <v>1183</v>
      </c>
      <c r="R16" s="3">
        <v>-0.61499999999999999</v>
      </c>
      <c r="S16" s="4">
        <v>1865.07</v>
      </c>
      <c r="T16" s="3">
        <v>0.184</v>
      </c>
      <c r="U16" s="4">
        <v>515</v>
      </c>
      <c r="V16" s="3">
        <v>-0.53400000000000003</v>
      </c>
      <c r="W16" s="3">
        <v>0</v>
      </c>
      <c r="X16" s="3">
        <v>0</v>
      </c>
      <c r="Y16" s="3">
        <v>3.7999999999999999E-2</v>
      </c>
      <c r="Z16" s="3">
        <v>0.85399999999999998</v>
      </c>
      <c r="AA16" s="3">
        <v>-0.81599999999999995</v>
      </c>
      <c r="AB16" s="3">
        <v>3.7999999999999999E-2</v>
      </c>
      <c r="AC16" s="3">
        <v>0.85399999999999998</v>
      </c>
      <c r="AD16" s="3">
        <v>-0.81599999999999995</v>
      </c>
      <c r="AE16" s="3">
        <v>0</v>
      </c>
      <c r="AF16" s="3">
        <v>0.84099999999999997</v>
      </c>
      <c r="AG16" s="3">
        <v>-0.84099999999999997</v>
      </c>
      <c r="AH16" s="3">
        <v>0.188</v>
      </c>
      <c r="AI16" s="3">
        <v>1.004</v>
      </c>
      <c r="AJ16" s="3">
        <v>-0.81599999999999995</v>
      </c>
      <c r="AK16" s="3">
        <v>0.55259999999999998</v>
      </c>
      <c r="AL16" s="4">
        <v>230</v>
      </c>
    </row>
    <row r="17" spans="1:38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0.66100000000000003</v>
      </c>
      <c r="F17" s="3">
        <v>0.375</v>
      </c>
      <c r="G17" s="3">
        <v>0</v>
      </c>
      <c r="H17" s="3">
        <v>0</v>
      </c>
      <c r="I17" s="4">
        <v>0</v>
      </c>
      <c r="J17" s="3">
        <v>-1</v>
      </c>
      <c r="K17" s="4">
        <v>5</v>
      </c>
      <c r="L17" s="4">
        <v>-3</v>
      </c>
      <c r="M17" s="4">
        <v>574</v>
      </c>
      <c r="N17" s="4">
        <v>868</v>
      </c>
      <c r="O17" s="3">
        <v>-0.33900000000000002</v>
      </c>
      <c r="P17" s="4">
        <v>0</v>
      </c>
      <c r="Q17" s="4">
        <v>98</v>
      </c>
      <c r="R17" s="3">
        <v>-1</v>
      </c>
      <c r="S17" s="8"/>
      <c r="T17" s="8"/>
      <c r="U17" s="4">
        <v>476</v>
      </c>
      <c r="V17" s="3">
        <v>-0.08</v>
      </c>
      <c r="W17" s="3">
        <v>0.14099999999999999</v>
      </c>
      <c r="X17" s="3">
        <v>0</v>
      </c>
      <c r="Y17" s="3">
        <v>2.3E-2</v>
      </c>
      <c r="Z17" s="3">
        <v>2.3E-2</v>
      </c>
      <c r="AA17" s="3">
        <v>0</v>
      </c>
      <c r="AB17" s="3">
        <v>2.3E-2</v>
      </c>
      <c r="AC17" s="3">
        <v>2.3E-2</v>
      </c>
      <c r="AD17" s="3">
        <v>0</v>
      </c>
      <c r="AE17" s="8"/>
      <c r="AF17" s="3">
        <v>0</v>
      </c>
      <c r="AG17" s="8"/>
      <c r="AH17" s="3">
        <v>0.17299999999999999</v>
      </c>
      <c r="AI17" s="3">
        <v>0.17299999999999999</v>
      </c>
      <c r="AJ17" s="3">
        <v>0</v>
      </c>
      <c r="AK17" s="3">
        <v>0.35949999999999999</v>
      </c>
      <c r="AL17" s="4">
        <v>305</v>
      </c>
    </row>
    <row r="18" spans="1:38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1.046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12</v>
      </c>
      <c r="L18" s="4">
        <v>0</v>
      </c>
      <c r="M18" s="4">
        <v>2231</v>
      </c>
      <c r="N18" s="4">
        <v>2133</v>
      </c>
      <c r="O18" s="3">
        <v>4.5999999999999999E-2</v>
      </c>
      <c r="P18" s="4">
        <v>0</v>
      </c>
      <c r="Q18" s="4">
        <v>0</v>
      </c>
      <c r="R18" s="8"/>
      <c r="S18" s="8"/>
      <c r="T18" s="8"/>
      <c r="U18" s="4">
        <v>1640</v>
      </c>
      <c r="V18" s="3">
        <v>2.9000000000000001E-2</v>
      </c>
      <c r="W18" s="3">
        <v>0.44800000000000001</v>
      </c>
      <c r="X18" s="3">
        <v>0</v>
      </c>
      <c r="Y18" s="3">
        <v>-4.0000000000000001E-3</v>
      </c>
      <c r="Z18" s="3">
        <v>-4.0000000000000001E-3</v>
      </c>
      <c r="AA18" s="3">
        <v>0</v>
      </c>
      <c r="AB18" s="3">
        <v>-4.0000000000000001E-3</v>
      </c>
      <c r="AC18" s="3">
        <v>-4.0000000000000001E-3</v>
      </c>
      <c r="AD18" s="3">
        <v>0</v>
      </c>
      <c r="AE18" s="8"/>
      <c r="AF18" s="8"/>
      <c r="AG18" s="8"/>
      <c r="AH18" s="3">
        <v>0.24</v>
      </c>
      <c r="AI18" s="3">
        <v>0.24</v>
      </c>
      <c r="AJ18" s="3">
        <v>0</v>
      </c>
      <c r="AK18" s="3">
        <v>0.54700000000000004</v>
      </c>
      <c r="AL18" s="4">
        <v>743</v>
      </c>
    </row>
    <row r="19" spans="1:38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1.028</v>
      </c>
      <c r="F19" s="3">
        <v>1.7000000000000001E-2</v>
      </c>
      <c r="G19" s="3">
        <v>0.30599999999999999</v>
      </c>
      <c r="H19" s="3">
        <v>0.30599999999999999</v>
      </c>
      <c r="I19" s="4">
        <v>3</v>
      </c>
      <c r="J19" s="3">
        <v>0.5</v>
      </c>
      <c r="K19" s="4">
        <v>119</v>
      </c>
      <c r="L19" s="4">
        <v>1</v>
      </c>
      <c r="M19" s="4">
        <v>184</v>
      </c>
      <c r="N19" s="4">
        <v>138</v>
      </c>
      <c r="O19" s="3">
        <v>0.33400000000000002</v>
      </c>
      <c r="P19" s="4">
        <v>42</v>
      </c>
      <c r="Q19" s="4">
        <v>30</v>
      </c>
      <c r="R19" s="3">
        <v>0.41199999999999998</v>
      </c>
      <c r="S19" s="4">
        <v>14.07</v>
      </c>
      <c r="T19" s="3">
        <v>-5.8999999999999997E-2</v>
      </c>
      <c r="U19" s="4">
        <v>1114</v>
      </c>
      <c r="V19" s="3">
        <v>-1.7999999999999999E-2</v>
      </c>
      <c r="W19" s="3">
        <v>1.2E-2</v>
      </c>
      <c r="X19" s="3">
        <v>0</v>
      </c>
      <c r="Y19" s="3">
        <v>0.03</v>
      </c>
      <c r="Z19" s="3">
        <v>0.03</v>
      </c>
      <c r="AA19" s="3">
        <v>0</v>
      </c>
      <c r="AB19" s="3">
        <v>0.03</v>
      </c>
      <c r="AC19" s="3">
        <v>0.03</v>
      </c>
      <c r="AD19" s="3">
        <v>0</v>
      </c>
      <c r="AE19" s="3">
        <v>0</v>
      </c>
      <c r="AF19" s="3">
        <v>0</v>
      </c>
      <c r="AG19" s="3">
        <v>0</v>
      </c>
      <c r="AH19" s="3">
        <v>0.27</v>
      </c>
      <c r="AI19" s="3">
        <v>0.27100000000000002</v>
      </c>
      <c r="AJ19" s="3">
        <v>-1E-3</v>
      </c>
      <c r="AK19" s="3">
        <v>0.42809999999999998</v>
      </c>
      <c r="AL19" s="4">
        <v>637</v>
      </c>
    </row>
    <row r="20" spans="1:38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0.92700000000000005</v>
      </c>
      <c r="F20" s="3">
        <v>7.6999999999999999E-2</v>
      </c>
      <c r="G20" s="3">
        <v>0.59099999999999997</v>
      </c>
      <c r="H20" s="3">
        <v>0.51900000000000002</v>
      </c>
      <c r="I20" s="4">
        <v>6</v>
      </c>
      <c r="J20" s="3">
        <v>0.5</v>
      </c>
      <c r="K20" s="4">
        <v>42</v>
      </c>
      <c r="L20" s="4">
        <v>3</v>
      </c>
      <c r="M20" s="4">
        <v>1911</v>
      </c>
      <c r="N20" s="4">
        <v>1259</v>
      </c>
      <c r="O20" s="3">
        <v>0.51700000000000002</v>
      </c>
      <c r="P20" s="4">
        <v>744</v>
      </c>
      <c r="Q20" s="4">
        <v>245</v>
      </c>
      <c r="R20" s="3">
        <v>2.0409999999999999</v>
      </c>
      <c r="S20" s="4">
        <v>123.96</v>
      </c>
      <c r="T20" s="3">
        <v>0.61399999999999999</v>
      </c>
      <c r="U20" s="4">
        <v>3916</v>
      </c>
      <c r="V20" s="3">
        <v>0.34300000000000003</v>
      </c>
      <c r="W20" s="3">
        <v>0</v>
      </c>
      <c r="X20" s="3">
        <v>0</v>
      </c>
      <c r="Y20" s="3">
        <v>6.2E-2</v>
      </c>
      <c r="Z20" s="3">
        <v>6.2E-2</v>
      </c>
      <c r="AA20" s="3">
        <v>0</v>
      </c>
      <c r="AB20" s="3">
        <v>6.2E-2</v>
      </c>
      <c r="AC20" s="3">
        <v>6.2E-2</v>
      </c>
      <c r="AD20" s="3">
        <v>0</v>
      </c>
      <c r="AE20" s="3">
        <v>0</v>
      </c>
      <c r="AF20" s="3">
        <v>0</v>
      </c>
      <c r="AG20" s="3">
        <v>0</v>
      </c>
      <c r="AH20" s="3">
        <v>0.26100000000000001</v>
      </c>
      <c r="AI20" s="3">
        <v>0.26100000000000001</v>
      </c>
      <c r="AJ20" s="3">
        <v>0</v>
      </c>
      <c r="AK20" s="3">
        <v>0.43109999999999998</v>
      </c>
      <c r="AL20" s="4">
        <v>2228</v>
      </c>
    </row>
    <row r="21" spans="1:38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0.77100000000000002</v>
      </c>
      <c r="F21" s="3">
        <v>0.1</v>
      </c>
      <c r="G21" s="3">
        <v>0</v>
      </c>
      <c r="H21" s="3">
        <v>0</v>
      </c>
      <c r="I21" s="4">
        <v>0</v>
      </c>
      <c r="J21" s="8"/>
      <c r="K21" s="4">
        <v>27</v>
      </c>
      <c r="L21" s="4">
        <v>-3</v>
      </c>
      <c r="M21" s="4">
        <v>1465</v>
      </c>
      <c r="N21" s="4">
        <v>1901</v>
      </c>
      <c r="O21" s="3">
        <v>-0.22900000000000001</v>
      </c>
      <c r="P21" s="4">
        <v>0</v>
      </c>
      <c r="Q21" s="4">
        <v>0</v>
      </c>
      <c r="R21" s="8"/>
      <c r="S21" s="8"/>
      <c r="T21" s="8"/>
      <c r="U21" s="4">
        <v>1555</v>
      </c>
      <c r="V21" s="3">
        <v>-0.111</v>
      </c>
      <c r="W21" s="3">
        <v>0</v>
      </c>
      <c r="X21" s="3">
        <v>0</v>
      </c>
      <c r="Y21" s="3">
        <v>3.3000000000000002E-2</v>
      </c>
      <c r="Z21" s="3">
        <v>3.3000000000000002E-2</v>
      </c>
      <c r="AA21" s="3">
        <v>0</v>
      </c>
      <c r="AB21" s="3">
        <v>3.3000000000000002E-2</v>
      </c>
      <c r="AC21" s="3">
        <v>3.3000000000000002E-2</v>
      </c>
      <c r="AD21" s="3">
        <v>0</v>
      </c>
      <c r="AE21" s="8"/>
      <c r="AF21" s="8"/>
      <c r="AG21" s="8"/>
      <c r="AH21" s="3">
        <v>0.28299999999999997</v>
      </c>
      <c r="AI21" s="3">
        <v>0.28299999999999997</v>
      </c>
      <c r="AJ21" s="3">
        <v>0</v>
      </c>
      <c r="AK21" s="3">
        <v>0.438</v>
      </c>
      <c r="AL21" s="4">
        <v>874</v>
      </c>
    </row>
    <row r="22" spans="1:38" x14ac:dyDescent="0.25">
      <c r="A22" s="12" t="s">
        <v>37</v>
      </c>
      <c r="B22" s="12" t="s">
        <v>48</v>
      </c>
      <c r="C22" s="5" t="s">
        <v>42</v>
      </c>
      <c r="D22" s="5"/>
      <c r="E22" s="6">
        <v>0.746</v>
      </c>
      <c r="F22" s="6">
        <v>7.6999999999999999E-2</v>
      </c>
      <c r="G22" s="6">
        <v>0.16600000000000001</v>
      </c>
      <c r="H22" s="6">
        <v>0.123</v>
      </c>
      <c r="I22" s="7">
        <v>15</v>
      </c>
      <c r="J22" s="6">
        <v>0.154</v>
      </c>
      <c r="K22" s="7">
        <v>207</v>
      </c>
      <c r="L22" s="7">
        <v>-1</v>
      </c>
      <c r="M22" s="7">
        <v>6819</v>
      </c>
      <c r="N22" s="7">
        <v>7481</v>
      </c>
      <c r="O22" s="6">
        <v>-8.7999999999999995E-2</v>
      </c>
      <c r="P22" s="7">
        <v>1241</v>
      </c>
      <c r="Q22" s="7">
        <v>1555</v>
      </c>
      <c r="R22" s="6">
        <v>-0.20200000000000001</v>
      </c>
      <c r="S22" s="7">
        <v>134.22</v>
      </c>
      <c r="T22" s="6">
        <v>-0.40200000000000002</v>
      </c>
      <c r="U22" s="7">
        <v>9215</v>
      </c>
      <c r="V22" s="6">
        <v>2.1999999999999999E-2</v>
      </c>
      <c r="W22" s="6">
        <v>9.0999999999999998E-2</v>
      </c>
      <c r="X22" s="6">
        <v>0</v>
      </c>
      <c r="Y22" s="6">
        <v>3.7999999999999999E-2</v>
      </c>
      <c r="Z22" s="6">
        <v>0.13600000000000001</v>
      </c>
      <c r="AA22" s="6">
        <v>-9.7000000000000003E-2</v>
      </c>
      <c r="AB22" s="6">
        <v>3.7999999999999999E-2</v>
      </c>
      <c r="AC22" s="6">
        <v>0.13600000000000001</v>
      </c>
      <c r="AD22" s="6">
        <v>-9.7000000000000003E-2</v>
      </c>
      <c r="AE22" s="6">
        <v>0</v>
      </c>
      <c r="AF22" s="6">
        <v>0.74199999999999999</v>
      </c>
      <c r="AG22" s="6">
        <v>-0.74199999999999999</v>
      </c>
      <c r="AH22" s="6">
        <v>0.253</v>
      </c>
      <c r="AI22" s="6">
        <v>0.34899999999999998</v>
      </c>
      <c r="AJ22" s="6">
        <v>-9.5000000000000001E-2</v>
      </c>
      <c r="AK22" s="6">
        <v>0.4556</v>
      </c>
      <c r="AL22" s="7">
        <v>5016</v>
      </c>
    </row>
    <row r="23" spans="1:38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0.97399999999999998</v>
      </c>
      <c r="F23" s="3">
        <v>0.1</v>
      </c>
      <c r="G23" s="3">
        <v>0.248</v>
      </c>
      <c r="H23" s="3">
        <v>0.155</v>
      </c>
      <c r="I23" s="4">
        <v>8</v>
      </c>
      <c r="J23" s="3">
        <v>0.6</v>
      </c>
      <c r="K23" s="4">
        <v>62</v>
      </c>
      <c r="L23" s="4">
        <v>2</v>
      </c>
      <c r="M23" s="4">
        <v>16525</v>
      </c>
      <c r="N23" s="4">
        <v>13530</v>
      </c>
      <c r="O23" s="3">
        <v>0.221</v>
      </c>
      <c r="P23" s="4">
        <v>3352</v>
      </c>
      <c r="Q23" s="4">
        <v>2804</v>
      </c>
      <c r="R23" s="3">
        <v>0.19500000000000001</v>
      </c>
      <c r="S23" s="4">
        <v>418.97</v>
      </c>
      <c r="T23" s="3">
        <v>-0.253</v>
      </c>
      <c r="U23" s="4">
        <v>16204</v>
      </c>
      <c r="V23" s="3">
        <v>0.16</v>
      </c>
      <c r="W23" s="3">
        <v>1E-3</v>
      </c>
      <c r="X23" s="3">
        <v>0.39400000000000002</v>
      </c>
      <c r="Y23" s="3">
        <v>0.41699999999999998</v>
      </c>
      <c r="Z23" s="3">
        <v>0.28799999999999998</v>
      </c>
      <c r="AA23" s="3">
        <v>0.129</v>
      </c>
      <c r="AB23" s="3">
        <v>0.41699999999999998</v>
      </c>
      <c r="AC23" s="3">
        <v>0.28799999999999998</v>
      </c>
      <c r="AD23" s="3">
        <v>0.129</v>
      </c>
      <c r="AE23" s="3">
        <v>0.376</v>
      </c>
      <c r="AF23" s="3">
        <v>0</v>
      </c>
      <c r="AG23" s="3">
        <v>0.376</v>
      </c>
      <c r="AH23" s="3">
        <v>0.52600000000000002</v>
      </c>
      <c r="AI23" s="3">
        <v>0.41399999999999998</v>
      </c>
      <c r="AJ23" s="3">
        <v>0.113</v>
      </c>
      <c r="AK23" s="3">
        <v>0.68910000000000005</v>
      </c>
      <c r="AL23" s="4">
        <v>5037</v>
      </c>
    </row>
    <row r="24" spans="1:38" x14ac:dyDescent="0.25">
      <c r="A24" s="12" t="s">
        <v>37</v>
      </c>
      <c r="B24" s="12" t="s">
        <v>59</v>
      </c>
      <c r="C24" s="5" t="s">
        <v>42</v>
      </c>
      <c r="D24" s="5"/>
      <c r="E24" s="6">
        <v>0.97399999999999998</v>
      </c>
      <c r="F24" s="6">
        <v>0.1</v>
      </c>
      <c r="G24" s="6">
        <v>0.248</v>
      </c>
      <c r="H24" s="6">
        <v>0.155</v>
      </c>
      <c r="I24" s="7">
        <v>8</v>
      </c>
      <c r="J24" s="6">
        <v>0.6</v>
      </c>
      <c r="K24" s="7">
        <v>62</v>
      </c>
      <c r="L24" s="7">
        <v>2</v>
      </c>
      <c r="M24" s="7">
        <v>16525</v>
      </c>
      <c r="N24" s="7">
        <v>13530</v>
      </c>
      <c r="O24" s="6">
        <v>0.221</v>
      </c>
      <c r="P24" s="7">
        <v>3352</v>
      </c>
      <c r="Q24" s="7">
        <v>2804</v>
      </c>
      <c r="R24" s="6">
        <v>0.19500000000000001</v>
      </c>
      <c r="S24" s="7">
        <v>418.97</v>
      </c>
      <c r="T24" s="6">
        <v>-0.253</v>
      </c>
      <c r="U24" s="7">
        <v>16204</v>
      </c>
      <c r="V24" s="6">
        <v>0.16</v>
      </c>
      <c r="W24" s="6">
        <v>1E-3</v>
      </c>
      <c r="X24" s="6">
        <v>0.39400000000000002</v>
      </c>
      <c r="Y24" s="6">
        <v>0.41699999999999998</v>
      </c>
      <c r="Z24" s="6">
        <v>0.28799999999999998</v>
      </c>
      <c r="AA24" s="6">
        <v>0.129</v>
      </c>
      <c r="AB24" s="6">
        <v>0.41699999999999998</v>
      </c>
      <c r="AC24" s="6">
        <v>0.28799999999999998</v>
      </c>
      <c r="AD24" s="6">
        <v>0.129</v>
      </c>
      <c r="AE24" s="6">
        <v>0.376</v>
      </c>
      <c r="AF24" s="6">
        <v>0</v>
      </c>
      <c r="AG24" s="6">
        <v>0.376</v>
      </c>
      <c r="AH24" s="6">
        <v>0.52600000000000002</v>
      </c>
      <c r="AI24" s="6">
        <v>0.41399999999999998</v>
      </c>
      <c r="AJ24" s="6">
        <v>0.113</v>
      </c>
      <c r="AK24" s="6">
        <v>0.68910000000000005</v>
      </c>
      <c r="AL24" s="7">
        <v>5037</v>
      </c>
    </row>
    <row r="25" spans="1:38" x14ac:dyDescent="0.25">
      <c r="A25" s="12" t="s">
        <v>37</v>
      </c>
      <c r="B25" s="5" t="s">
        <v>42</v>
      </c>
      <c r="C25" s="5"/>
      <c r="D25" s="5"/>
      <c r="E25" s="6">
        <v>0.92200000000000004</v>
      </c>
      <c r="F25" s="6">
        <v>6.7000000000000004E-2</v>
      </c>
      <c r="G25" s="6">
        <v>0.11899999999999999</v>
      </c>
      <c r="H25" s="6">
        <v>8.3000000000000004E-2</v>
      </c>
      <c r="I25" s="7">
        <v>318</v>
      </c>
      <c r="J25" s="6">
        <v>0.27700000000000002</v>
      </c>
      <c r="K25" s="7">
        <v>3870</v>
      </c>
      <c r="L25" s="7">
        <v>62</v>
      </c>
      <c r="M25" s="7">
        <v>667282</v>
      </c>
      <c r="N25" s="7">
        <v>641132</v>
      </c>
      <c r="O25" s="6">
        <v>4.1000000000000002E-2</v>
      </c>
      <c r="P25" s="7">
        <v>76062</v>
      </c>
      <c r="Q25" s="7">
        <v>74555</v>
      </c>
      <c r="R25" s="6">
        <v>0.02</v>
      </c>
      <c r="S25" s="7">
        <v>247.99</v>
      </c>
      <c r="T25" s="6">
        <v>-0.223</v>
      </c>
      <c r="U25" s="7">
        <v>589644</v>
      </c>
      <c r="V25" s="6">
        <v>2.5999999999999999E-2</v>
      </c>
      <c r="W25" s="6">
        <v>8.0000000000000002E-3</v>
      </c>
      <c r="X25" s="6">
        <v>0.73799999999999999</v>
      </c>
      <c r="Y25" s="6">
        <v>0.75800000000000001</v>
      </c>
      <c r="Z25" s="6">
        <v>0.60499999999999998</v>
      </c>
      <c r="AA25" s="6">
        <v>0.153</v>
      </c>
      <c r="AB25" s="6">
        <v>0.75800000000000001</v>
      </c>
      <c r="AC25" s="6">
        <v>0.60399999999999998</v>
      </c>
      <c r="AD25" s="6">
        <v>0.154</v>
      </c>
      <c r="AE25" s="6">
        <v>0.79200000000000004</v>
      </c>
      <c r="AF25" s="6">
        <v>0.54700000000000004</v>
      </c>
      <c r="AG25" s="6">
        <v>0.246</v>
      </c>
      <c r="AH25" s="6">
        <v>0.87</v>
      </c>
      <c r="AI25" s="6">
        <v>0.71799999999999997</v>
      </c>
      <c r="AJ25" s="6">
        <v>0.153</v>
      </c>
      <c r="AK25" s="6">
        <v>1.0416000000000001</v>
      </c>
      <c r="AL25" s="7">
        <v>-24538</v>
      </c>
    </row>
    <row r="26" spans="1:38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1.415</v>
      </c>
      <c r="F26" s="3">
        <v>0.10199999999999999</v>
      </c>
      <c r="G26" s="3">
        <v>0.34399999999999997</v>
      </c>
      <c r="H26" s="3">
        <v>0.157</v>
      </c>
      <c r="I26" s="4">
        <v>14</v>
      </c>
      <c r="J26" s="3">
        <v>1.333</v>
      </c>
      <c r="K26" s="4">
        <v>93</v>
      </c>
      <c r="L26" s="4">
        <v>5</v>
      </c>
      <c r="M26" s="4">
        <v>8446</v>
      </c>
      <c r="N26" s="4">
        <v>4800</v>
      </c>
      <c r="O26" s="3">
        <v>0.76</v>
      </c>
      <c r="P26" s="4">
        <v>1652</v>
      </c>
      <c r="Q26" s="4">
        <v>764</v>
      </c>
      <c r="R26" s="3">
        <v>1.163</v>
      </c>
      <c r="S26" s="4">
        <v>136.9</v>
      </c>
      <c r="T26" s="3">
        <v>-7.0999999999999994E-2</v>
      </c>
      <c r="U26" s="4">
        <v>7099</v>
      </c>
      <c r="V26" s="3">
        <v>0.379</v>
      </c>
      <c r="W26" s="3">
        <v>0.01</v>
      </c>
      <c r="X26" s="3">
        <v>0</v>
      </c>
      <c r="Y26" s="3">
        <v>0.184</v>
      </c>
      <c r="Z26" s="3">
        <v>0.184</v>
      </c>
      <c r="AA26" s="3">
        <v>0</v>
      </c>
      <c r="AB26" s="3">
        <v>0.17399999999999999</v>
      </c>
      <c r="AC26" s="3">
        <v>0.17399999999999999</v>
      </c>
      <c r="AD26" s="3">
        <v>0</v>
      </c>
      <c r="AE26" s="3">
        <v>0</v>
      </c>
      <c r="AF26" s="3">
        <v>0</v>
      </c>
      <c r="AG26" s="3">
        <v>0</v>
      </c>
      <c r="AH26" s="3">
        <v>0.35899999999999999</v>
      </c>
      <c r="AI26" s="3">
        <v>0.37</v>
      </c>
      <c r="AJ26" s="3">
        <v>-0.01</v>
      </c>
      <c r="AK26" s="3">
        <v>0.5212</v>
      </c>
      <c r="AL26" s="4">
        <v>3399</v>
      </c>
    </row>
    <row r="27" spans="1:38" x14ac:dyDescent="0.25">
      <c r="A27" s="12" t="s">
        <v>61</v>
      </c>
      <c r="B27" s="12" t="s">
        <v>39</v>
      </c>
      <c r="C27" s="5" t="s">
        <v>42</v>
      </c>
      <c r="D27" s="5"/>
      <c r="E27" s="6">
        <v>1.415</v>
      </c>
      <c r="F27" s="6">
        <v>0.10199999999999999</v>
      </c>
      <c r="G27" s="6">
        <v>0.34399999999999997</v>
      </c>
      <c r="H27" s="6">
        <v>0.157</v>
      </c>
      <c r="I27" s="7">
        <v>14</v>
      </c>
      <c r="J27" s="6">
        <v>1.333</v>
      </c>
      <c r="K27" s="7">
        <v>93</v>
      </c>
      <c r="L27" s="7">
        <v>5</v>
      </c>
      <c r="M27" s="7">
        <v>8446</v>
      </c>
      <c r="N27" s="7">
        <v>4800</v>
      </c>
      <c r="O27" s="6">
        <v>0.76</v>
      </c>
      <c r="P27" s="7">
        <v>1652</v>
      </c>
      <c r="Q27" s="7">
        <v>764</v>
      </c>
      <c r="R27" s="6">
        <v>1.163</v>
      </c>
      <c r="S27" s="7">
        <v>136.9</v>
      </c>
      <c r="T27" s="6">
        <v>-7.0999999999999994E-2</v>
      </c>
      <c r="U27" s="7">
        <v>7099</v>
      </c>
      <c r="V27" s="6">
        <v>0.379</v>
      </c>
      <c r="W27" s="6">
        <v>0.01</v>
      </c>
      <c r="X27" s="6">
        <v>0</v>
      </c>
      <c r="Y27" s="6">
        <v>0.184</v>
      </c>
      <c r="Z27" s="6">
        <v>0.184</v>
      </c>
      <c r="AA27" s="6">
        <v>0</v>
      </c>
      <c r="AB27" s="6">
        <v>0.17399999999999999</v>
      </c>
      <c r="AC27" s="6">
        <v>0.17399999999999999</v>
      </c>
      <c r="AD27" s="6">
        <v>0</v>
      </c>
      <c r="AE27" s="6">
        <v>0</v>
      </c>
      <c r="AF27" s="6">
        <v>0</v>
      </c>
      <c r="AG27" s="6">
        <v>0</v>
      </c>
      <c r="AH27" s="6">
        <v>0.35899999999999999</v>
      </c>
      <c r="AI27" s="6">
        <v>0.37</v>
      </c>
      <c r="AJ27" s="6">
        <v>-0.01</v>
      </c>
      <c r="AK27" s="6">
        <v>0.5212</v>
      </c>
      <c r="AL27" s="7">
        <v>3399</v>
      </c>
    </row>
    <row r="28" spans="1:38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0.13200000000000001</v>
      </c>
      <c r="F28" s="3">
        <v>4.8000000000000001E-2</v>
      </c>
      <c r="G28" s="3">
        <v>0.77600000000000002</v>
      </c>
      <c r="H28" s="3">
        <v>0.77600000000000002</v>
      </c>
      <c r="I28" s="4">
        <v>14</v>
      </c>
      <c r="J28" s="3">
        <v>-0.36399999999999999</v>
      </c>
      <c r="K28" s="4">
        <v>73</v>
      </c>
      <c r="L28" s="4">
        <v>11</v>
      </c>
      <c r="M28" s="4">
        <v>8731</v>
      </c>
      <c r="N28" s="4">
        <v>9610</v>
      </c>
      <c r="O28" s="3">
        <v>-9.0999999999999998E-2</v>
      </c>
      <c r="P28" s="4">
        <v>7459</v>
      </c>
      <c r="Q28" s="4">
        <v>7454</v>
      </c>
      <c r="R28" s="3">
        <v>1E-3</v>
      </c>
      <c r="S28" s="4">
        <v>524.89</v>
      </c>
      <c r="T28" s="3">
        <v>0.55700000000000005</v>
      </c>
      <c r="U28" s="4">
        <v>14426</v>
      </c>
      <c r="V28" s="3">
        <v>-0.22</v>
      </c>
      <c r="W28" s="3">
        <v>0</v>
      </c>
      <c r="X28" s="3">
        <v>0.67500000000000004</v>
      </c>
      <c r="Y28" s="3">
        <v>0.70699999999999996</v>
      </c>
      <c r="Z28" s="3">
        <v>0.60299999999999998</v>
      </c>
      <c r="AA28" s="3">
        <v>0.105</v>
      </c>
      <c r="AB28" s="3">
        <v>0.70699999999999996</v>
      </c>
      <c r="AC28" s="3">
        <v>0.60299999999999998</v>
      </c>
      <c r="AD28" s="3">
        <v>0.105</v>
      </c>
      <c r="AE28" s="3">
        <v>0</v>
      </c>
      <c r="AF28" s="3">
        <v>0</v>
      </c>
      <c r="AG28" s="3">
        <v>0</v>
      </c>
      <c r="AH28" s="3">
        <v>0.77800000000000002</v>
      </c>
      <c r="AI28" s="3">
        <v>0.67300000000000004</v>
      </c>
      <c r="AJ28" s="3">
        <v>0.105</v>
      </c>
      <c r="AK28" s="3">
        <v>0.94530000000000003</v>
      </c>
      <c r="AL28" s="4">
        <v>788</v>
      </c>
    </row>
    <row r="29" spans="1:38" x14ac:dyDescent="0.25">
      <c r="A29" s="12" t="s">
        <v>61</v>
      </c>
      <c r="B29" s="12" t="s">
        <v>43</v>
      </c>
      <c r="C29" s="5" t="s">
        <v>42</v>
      </c>
      <c r="D29" s="5"/>
      <c r="E29" s="6">
        <v>0.13200000000000001</v>
      </c>
      <c r="F29" s="6">
        <v>4.8000000000000001E-2</v>
      </c>
      <c r="G29" s="6">
        <v>0.77600000000000002</v>
      </c>
      <c r="H29" s="6">
        <v>0.77600000000000002</v>
      </c>
      <c r="I29" s="7">
        <v>14</v>
      </c>
      <c r="J29" s="6">
        <v>-0.36399999999999999</v>
      </c>
      <c r="K29" s="7">
        <v>73</v>
      </c>
      <c r="L29" s="7">
        <v>11</v>
      </c>
      <c r="M29" s="7">
        <v>8731</v>
      </c>
      <c r="N29" s="7">
        <v>9610</v>
      </c>
      <c r="O29" s="6">
        <v>-9.0999999999999998E-2</v>
      </c>
      <c r="P29" s="7">
        <v>7459</v>
      </c>
      <c r="Q29" s="7">
        <v>7454</v>
      </c>
      <c r="R29" s="6">
        <v>1E-3</v>
      </c>
      <c r="S29" s="7">
        <v>524.89</v>
      </c>
      <c r="T29" s="6">
        <v>0.55700000000000005</v>
      </c>
      <c r="U29" s="7">
        <v>14426</v>
      </c>
      <c r="V29" s="6">
        <v>-0.22</v>
      </c>
      <c r="W29" s="6">
        <v>0</v>
      </c>
      <c r="X29" s="6">
        <v>0.67500000000000004</v>
      </c>
      <c r="Y29" s="6">
        <v>0.70699999999999996</v>
      </c>
      <c r="Z29" s="6">
        <v>0.60299999999999998</v>
      </c>
      <c r="AA29" s="6">
        <v>0.105</v>
      </c>
      <c r="AB29" s="6">
        <v>0.70699999999999996</v>
      </c>
      <c r="AC29" s="6">
        <v>0.60299999999999998</v>
      </c>
      <c r="AD29" s="6">
        <v>0.105</v>
      </c>
      <c r="AE29" s="6">
        <v>0</v>
      </c>
      <c r="AF29" s="6">
        <v>0</v>
      </c>
      <c r="AG29" s="6">
        <v>0</v>
      </c>
      <c r="AH29" s="6">
        <v>0.77800000000000002</v>
      </c>
      <c r="AI29" s="6">
        <v>0.67300000000000004</v>
      </c>
      <c r="AJ29" s="6">
        <v>0.105</v>
      </c>
      <c r="AK29" s="6">
        <v>0.94530000000000003</v>
      </c>
      <c r="AL29" s="7">
        <v>788</v>
      </c>
    </row>
    <row r="30" spans="1:38" x14ac:dyDescent="0.25">
      <c r="A30" s="12" t="s">
        <v>61</v>
      </c>
      <c r="B30" s="12" t="s">
        <v>64</v>
      </c>
      <c r="C30" s="2" t="s">
        <v>53</v>
      </c>
      <c r="D30" s="2" t="s">
        <v>104</v>
      </c>
      <c r="E30" s="3">
        <v>0</v>
      </c>
      <c r="F30" s="3">
        <v>0</v>
      </c>
      <c r="G30" s="3">
        <v>0</v>
      </c>
      <c r="H30" s="3">
        <v>0</v>
      </c>
      <c r="I30" s="4">
        <v>0</v>
      </c>
      <c r="J30" s="8"/>
      <c r="K30" s="4">
        <v>1</v>
      </c>
      <c r="L30" s="4">
        <v>0</v>
      </c>
      <c r="M30" s="4">
        <v>0</v>
      </c>
      <c r="N30" s="4">
        <v>0</v>
      </c>
      <c r="O30" s="8"/>
      <c r="P30" s="4">
        <v>0</v>
      </c>
      <c r="Q30" s="4">
        <v>0</v>
      </c>
      <c r="R30" s="8"/>
      <c r="S30" s="8"/>
      <c r="T30" s="8"/>
      <c r="U30" s="4">
        <v>165</v>
      </c>
      <c r="V30" s="3">
        <v>0.05</v>
      </c>
      <c r="W30" s="3">
        <v>0</v>
      </c>
      <c r="X30" s="3">
        <v>0</v>
      </c>
      <c r="Y30" s="3">
        <v>5.8999999999999997E-2</v>
      </c>
      <c r="Z30" s="3">
        <v>5.8999999999999997E-2</v>
      </c>
      <c r="AA30" s="3">
        <v>0</v>
      </c>
      <c r="AB30" s="3">
        <v>5.8999999999999997E-2</v>
      </c>
      <c r="AC30" s="3">
        <v>5.8999999999999997E-2</v>
      </c>
      <c r="AD30" s="3">
        <v>0</v>
      </c>
      <c r="AE30" s="8"/>
      <c r="AF30" s="8"/>
      <c r="AG30" s="8"/>
      <c r="AH30" s="3">
        <v>0.26900000000000002</v>
      </c>
      <c r="AI30" s="3">
        <v>0.26900000000000002</v>
      </c>
      <c r="AJ30" s="3">
        <v>0</v>
      </c>
      <c r="AK30" s="3">
        <v>0.33279999999999998</v>
      </c>
      <c r="AL30" s="4">
        <v>110</v>
      </c>
    </row>
    <row r="31" spans="1:38" x14ac:dyDescent="0.25">
      <c r="A31" s="12" t="s">
        <v>61</v>
      </c>
      <c r="B31" s="12" t="s">
        <v>64</v>
      </c>
      <c r="C31" s="2" t="s">
        <v>65</v>
      </c>
      <c r="D31" s="2" t="s">
        <v>65</v>
      </c>
      <c r="E31" s="3">
        <v>1.0349999999999999</v>
      </c>
      <c r="F31" s="3">
        <v>0.115</v>
      </c>
      <c r="G31" s="3">
        <v>0.06</v>
      </c>
      <c r="H31" s="3">
        <v>4.1000000000000002E-2</v>
      </c>
      <c r="I31" s="4">
        <v>3</v>
      </c>
      <c r="J31" s="3">
        <v>-0.4</v>
      </c>
      <c r="K31" s="4">
        <v>49</v>
      </c>
      <c r="L31" s="4">
        <v>-3</v>
      </c>
      <c r="M31" s="4">
        <v>27652</v>
      </c>
      <c r="N31" s="4">
        <v>25245</v>
      </c>
      <c r="O31" s="3">
        <v>9.5000000000000001E-2</v>
      </c>
      <c r="P31" s="4">
        <v>1512</v>
      </c>
      <c r="Q31" s="4">
        <v>4762</v>
      </c>
      <c r="R31" s="3">
        <v>-0.68200000000000005</v>
      </c>
      <c r="S31" s="4">
        <v>504.07</v>
      </c>
      <c r="T31" s="3">
        <v>-0.47099999999999997</v>
      </c>
      <c r="U31" s="4">
        <v>27294</v>
      </c>
      <c r="V31" s="3">
        <v>-7.0000000000000007E-2</v>
      </c>
      <c r="W31" s="3">
        <v>8.9999999999999993E-3</v>
      </c>
      <c r="X31" s="3">
        <v>1.2789999999999999</v>
      </c>
      <c r="Y31" s="3">
        <v>1.306</v>
      </c>
      <c r="Z31" s="3">
        <v>1.2250000000000001</v>
      </c>
      <c r="AA31" s="3">
        <v>8.1000000000000003E-2</v>
      </c>
      <c r="AB31" s="3">
        <v>1.306</v>
      </c>
      <c r="AC31" s="3">
        <v>1.224</v>
      </c>
      <c r="AD31" s="3">
        <v>8.3000000000000004E-2</v>
      </c>
      <c r="AE31" s="3">
        <v>0</v>
      </c>
      <c r="AF31" s="3">
        <v>6.9930000000000003</v>
      </c>
      <c r="AG31" s="3">
        <v>-6.9930000000000003</v>
      </c>
      <c r="AH31" s="3">
        <v>1.5069999999999999</v>
      </c>
      <c r="AI31" s="3">
        <v>1.4259999999999999</v>
      </c>
      <c r="AJ31" s="3">
        <v>8.1000000000000003E-2</v>
      </c>
      <c r="AK31" s="3">
        <v>1.637</v>
      </c>
      <c r="AL31" s="4">
        <v>-17386</v>
      </c>
    </row>
    <row r="32" spans="1:38" x14ac:dyDescent="0.25">
      <c r="A32" s="12" t="s">
        <v>61</v>
      </c>
      <c r="B32" s="12" t="s">
        <v>64</v>
      </c>
      <c r="C32" s="5" t="s">
        <v>42</v>
      </c>
      <c r="D32" s="5"/>
      <c r="E32" s="6">
        <v>1.0349999999999999</v>
      </c>
      <c r="F32" s="6">
        <v>0.113</v>
      </c>
      <c r="G32" s="6">
        <v>0.06</v>
      </c>
      <c r="H32" s="6">
        <v>4.1000000000000002E-2</v>
      </c>
      <c r="I32" s="7">
        <v>3</v>
      </c>
      <c r="J32" s="6">
        <v>-0.4</v>
      </c>
      <c r="K32" s="7">
        <v>50</v>
      </c>
      <c r="L32" s="7">
        <v>-3</v>
      </c>
      <c r="M32" s="7">
        <v>27652</v>
      </c>
      <c r="N32" s="7">
        <v>25245</v>
      </c>
      <c r="O32" s="6">
        <v>9.5000000000000001E-2</v>
      </c>
      <c r="P32" s="7">
        <v>1512</v>
      </c>
      <c r="Q32" s="7">
        <v>4762</v>
      </c>
      <c r="R32" s="6">
        <v>-0.68200000000000005</v>
      </c>
      <c r="S32" s="7">
        <v>504.07</v>
      </c>
      <c r="T32" s="6">
        <v>-0.47099999999999997</v>
      </c>
      <c r="U32" s="7">
        <v>27459</v>
      </c>
      <c r="V32" s="6">
        <v>-6.9000000000000006E-2</v>
      </c>
      <c r="W32" s="6">
        <v>8.9999999999999993E-3</v>
      </c>
      <c r="X32" s="6">
        <v>1.2709999999999999</v>
      </c>
      <c r="Y32" s="6">
        <v>1.2989999999999999</v>
      </c>
      <c r="Z32" s="6">
        <v>1.2190000000000001</v>
      </c>
      <c r="AA32" s="6">
        <v>0.08</v>
      </c>
      <c r="AB32" s="6">
        <v>1.2989999999999999</v>
      </c>
      <c r="AC32" s="6">
        <v>1.2170000000000001</v>
      </c>
      <c r="AD32" s="6">
        <v>8.1000000000000003E-2</v>
      </c>
      <c r="AE32" s="6">
        <v>0</v>
      </c>
      <c r="AF32" s="6">
        <v>6.9930000000000003</v>
      </c>
      <c r="AG32" s="6">
        <v>-6.9930000000000003</v>
      </c>
      <c r="AH32" s="6">
        <v>1.5</v>
      </c>
      <c r="AI32" s="6">
        <v>1.42</v>
      </c>
      <c r="AJ32" s="6">
        <v>0.08</v>
      </c>
      <c r="AK32" s="6">
        <v>1.6291</v>
      </c>
      <c r="AL32" s="7">
        <v>-17275</v>
      </c>
    </row>
    <row r="33" spans="1:38" x14ac:dyDescent="0.25">
      <c r="A33" s="12" t="s">
        <v>61</v>
      </c>
      <c r="B33" s="12" t="s">
        <v>66</v>
      </c>
      <c r="C33" s="2" t="s">
        <v>55</v>
      </c>
      <c r="D33" s="2" t="s">
        <v>67</v>
      </c>
      <c r="E33" s="3">
        <v>0.95799999999999996</v>
      </c>
      <c r="F33" s="3">
        <v>0.04</v>
      </c>
      <c r="G33" s="3">
        <v>9.0999999999999998E-2</v>
      </c>
      <c r="H33" s="3">
        <v>0.08</v>
      </c>
      <c r="I33" s="4">
        <v>5</v>
      </c>
      <c r="J33" s="3">
        <v>0</v>
      </c>
      <c r="K33" s="4">
        <v>53</v>
      </c>
      <c r="L33" s="4">
        <v>3</v>
      </c>
      <c r="M33" s="4">
        <v>41257</v>
      </c>
      <c r="N33" s="4">
        <v>39307</v>
      </c>
      <c r="O33" s="3">
        <v>0.05</v>
      </c>
      <c r="P33" s="4">
        <v>3585</v>
      </c>
      <c r="Q33" s="4">
        <v>2126</v>
      </c>
      <c r="R33" s="3">
        <v>0.68600000000000005</v>
      </c>
      <c r="S33" s="4">
        <v>717.01</v>
      </c>
      <c r="T33" s="3">
        <v>0.35799999999999998</v>
      </c>
      <c r="U33" s="4">
        <v>29262</v>
      </c>
      <c r="V33" s="3">
        <v>-1.6E-2</v>
      </c>
      <c r="W33" s="3">
        <v>2.7E-2</v>
      </c>
      <c r="X33" s="3">
        <v>5.0999999999999997E-2</v>
      </c>
      <c r="Y33" s="3">
        <v>0.28899999999999998</v>
      </c>
      <c r="Z33" s="3">
        <v>0.26100000000000001</v>
      </c>
      <c r="AA33" s="3">
        <v>2.7E-2</v>
      </c>
      <c r="AB33" s="3">
        <v>0.27600000000000002</v>
      </c>
      <c r="AC33" s="3">
        <v>0.249</v>
      </c>
      <c r="AD33" s="3">
        <v>2.7E-2</v>
      </c>
      <c r="AE33" s="3">
        <v>0</v>
      </c>
      <c r="AF33" s="3">
        <v>0</v>
      </c>
      <c r="AG33" s="3">
        <v>0</v>
      </c>
      <c r="AH33" s="3">
        <v>0.48899999999999999</v>
      </c>
      <c r="AI33" s="3">
        <v>0.45700000000000002</v>
      </c>
      <c r="AJ33" s="3">
        <v>3.2000000000000001E-2</v>
      </c>
      <c r="AK33" s="3">
        <v>0.61060000000000003</v>
      </c>
      <c r="AL33" s="4">
        <v>11395</v>
      </c>
    </row>
    <row r="34" spans="1:38" x14ac:dyDescent="0.25">
      <c r="A34" s="12" t="s">
        <v>61</v>
      </c>
      <c r="B34" s="12" t="s">
        <v>66</v>
      </c>
      <c r="C34" s="5" t="s">
        <v>42</v>
      </c>
      <c r="D34" s="5"/>
      <c r="E34" s="6">
        <v>0.95799999999999996</v>
      </c>
      <c r="F34" s="6">
        <v>0.04</v>
      </c>
      <c r="G34" s="6">
        <v>9.0999999999999998E-2</v>
      </c>
      <c r="H34" s="6">
        <v>0.08</v>
      </c>
      <c r="I34" s="7">
        <v>5</v>
      </c>
      <c r="J34" s="6">
        <v>0</v>
      </c>
      <c r="K34" s="7">
        <v>53</v>
      </c>
      <c r="L34" s="7">
        <v>3</v>
      </c>
      <c r="M34" s="7">
        <v>41257</v>
      </c>
      <c r="N34" s="7">
        <v>39307</v>
      </c>
      <c r="O34" s="6">
        <v>0.05</v>
      </c>
      <c r="P34" s="7">
        <v>3585</v>
      </c>
      <c r="Q34" s="7">
        <v>2126</v>
      </c>
      <c r="R34" s="6">
        <v>0.68600000000000005</v>
      </c>
      <c r="S34" s="7">
        <v>717.01</v>
      </c>
      <c r="T34" s="6">
        <v>0.35799999999999998</v>
      </c>
      <c r="U34" s="7">
        <v>29262</v>
      </c>
      <c r="V34" s="6">
        <v>-1.6E-2</v>
      </c>
      <c r="W34" s="6">
        <v>2.7E-2</v>
      </c>
      <c r="X34" s="6">
        <v>5.0999999999999997E-2</v>
      </c>
      <c r="Y34" s="6">
        <v>0.28899999999999998</v>
      </c>
      <c r="Z34" s="6">
        <v>0.26100000000000001</v>
      </c>
      <c r="AA34" s="6">
        <v>2.7E-2</v>
      </c>
      <c r="AB34" s="6">
        <v>0.27600000000000002</v>
      </c>
      <c r="AC34" s="6">
        <v>0.249</v>
      </c>
      <c r="AD34" s="6">
        <v>2.7E-2</v>
      </c>
      <c r="AE34" s="6">
        <v>0</v>
      </c>
      <c r="AF34" s="6">
        <v>0</v>
      </c>
      <c r="AG34" s="6">
        <v>0</v>
      </c>
      <c r="AH34" s="6">
        <v>0.48899999999999999</v>
      </c>
      <c r="AI34" s="6">
        <v>0.45700000000000002</v>
      </c>
      <c r="AJ34" s="6">
        <v>3.2000000000000001E-2</v>
      </c>
      <c r="AK34" s="6">
        <v>0.61060000000000003</v>
      </c>
      <c r="AL34" s="7">
        <v>11395</v>
      </c>
    </row>
    <row r="35" spans="1:38" x14ac:dyDescent="0.25">
      <c r="A35" s="12" t="s">
        <v>61</v>
      </c>
      <c r="B35" s="12" t="s">
        <v>68</v>
      </c>
      <c r="C35" s="2" t="s">
        <v>69</v>
      </c>
      <c r="D35" s="2" t="s">
        <v>70</v>
      </c>
      <c r="E35" s="3">
        <v>0.98899999999999999</v>
      </c>
      <c r="F35" s="3">
        <v>0</v>
      </c>
      <c r="G35" s="3">
        <v>0</v>
      </c>
      <c r="H35" s="3">
        <v>0</v>
      </c>
      <c r="I35" s="4">
        <v>0</v>
      </c>
      <c r="J35" s="3">
        <v>-1</v>
      </c>
      <c r="K35" s="4">
        <v>14</v>
      </c>
      <c r="L35" s="4">
        <v>0</v>
      </c>
      <c r="M35" s="4">
        <v>5854</v>
      </c>
      <c r="N35" s="4">
        <v>5921</v>
      </c>
      <c r="O35" s="3">
        <v>-1.0999999999999999E-2</v>
      </c>
      <c r="P35" s="4">
        <v>0</v>
      </c>
      <c r="Q35" s="4">
        <v>350</v>
      </c>
      <c r="R35" s="3">
        <v>-1</v>
      </c>
      <c r="S35" s="8"/>
      <c r="T35" s="8"/>
      <c r="U35" s="4">
        <v>3293</v>
      </c>
      <c r="V35" s="3">
        <v>-1E-3</v>
      </c>
      <c r="W35" s="3">
        <v>0</v>
      </c>
      <c r="X35" s="3">
        <v>0</v>
      </c>
      <c r="Y35" s="3">
        <v>3.7999999999999999E-2</v>
      </c>
      <c r="Z35" s="3">
        <v>3.7999999999999999E-2</v>
      </c>
      <c r="AA35" s="3">
        <v>0</v>
      </c>
      <c r="AB35" s="3">
        <v>3.7999999999999999E-2</v>
      </c>
      <c r="AC35" s="3">
        <v>3.7999999999999999E-2</v>
      </c>
      <c r="AD35" s="3">
        <v>0</v>
      </c>
      <c r="AE35" s="8"/>
      <c r="AF35" s="3">
        <v>0</v>
      </c>
      <c r="AG35" s="8"/>
      <c r="AH35" s="3">
        <v>0.189</v>
      </c>
      <c r="AI35" s="3">
        <v>0.188</v>
      </c>
      <c r="AJ35" s="3">
        <v>1E-3</v>
      </c>
      <c r="AK35" s="3">
        <v>0.29930000000000001</v>
      </c>
      <c r="AL35" s="4">
        <v>2308</v>
      </c>
    </row>
    <row r="36" spans="1:38" x14ac:dyDescent="0.25">
      <c r="A36" s="12" t="s">
        <v>61</v>
      </c>
      <c r="B36" s="12" t="s">
        <v>68</v>
      </c>
      <c r="C36" s="5" t="s">
        <v>42</v>
      </c>
      <c r="D36" s="5"/>
      <c r="E36" s="6">
        <v>0.98899999999999999</v>
      </c>
      <c r="F36" s="6">
        <v>0</v>
      </c>
      <c r="G36" s="6">
        <v>0</v>
      </c>
      <c r="H36" s="6">
        <v>0</v>
      </c>
      <c r="I36" s="7">
        <v>0</v>
      </c>
      <c r="J36" s="6">
        <v>-1</v>
      </c>
      <c r="K36" s="7">
        <v>14</v>
      </c>
      <c r="L36" s="7">
        <v>0</v>
      </c>
      <c r="M36" s="7">
        <v>5854</v>
      </c>
      <c r="N36" s="7">
        <v>5921</v>
      </c>
      <c r="O36" s="6">
        <v>-1.0999999999999999E-2</v>
      </c>
      <c r="P36" s="7">
        <v>0</v>
      </c>
      <c r="Q36" s="7">
        <v>350</v>
      </c>
      <c r="R36" s="6">
        <v>-1</v>
      </c>
      <c r="S36" s="5"/>
      <c r="T36" s="5"/>
      <c r="U36" s="7">
        <v>3293</v>
      </c>
      <c r="V36" s="6">
        <v>-1E-3</v>
      </c>
      <c r="W36" s="6">
        <v>0</v>
      </c>
      <c r="X36" s="6">
        <v>0</v>
      </c>
      <c r="Y36" s="6">
        <v>3.7999999999999999E-2</v>
      </c>
      <c r="Z36" s="6">
        <v>3.7999999999999999E-2</v>
      </c>
      <c r="AA36" s="6">
        <v>0</v>
      </c>
      <c r="AB36" s="6">
        <v>3.7999999999999999E-2</v>
      </c>
      <c r="AC36" s="6">
        <v>3.7999999999999999E-2</v>
      </c>
      <c r="AD36" s="6">
        <v>0</v>
      </c>
      <c r="AE36" s="5"/>
      <c r="AF36" s="6">
        <v>0</v>
      </c>
      <c r="AG36" s="5"/>
      <c r="AH36" s="6">
        <v>0.189</v>
      </c>
      <c r="AI36" s="6">
        <v>0.188</v>
      </c>
      <c r="AJ36" s="6">
        <v>1E-3</v>
      </c>
      <c r="AK36" s="6">
        <v>0.29930000000000001</v>
      </c>
      <c r="AL36" s="7">
        <v>2308</v>
      </c>
    </row>
    <row r="37" spans="1:38" x14ac:dyDescent="0.25">
      <c r="A37" s="12" t="s">
        <v>61</v>
      </c>
      <c r="B37" s="12" t="s">
        <v>46</v>
      </c>
      <c r="C37" s="2" t="s">
        <v>71</v>
      </c>
      <c r="D37" s="2" t="s">
        <v>71</v>
      </c>
      <c r="E37" s="3">
        <v>1.0580000000000001</v>
      </c>
      <c r="F37" s="3">
        <v>5.7000000000000002E-2</v>
      </c>
      <c r="G37" s="3">
        <v>7.6999999999999999E-2</v>
      </c>
      <c r="H37" s="3">
        <v>0</v>
      </c>
      <c r="I37" s="4">
        <v>2</v>
      </c>
      <c r="J37" s="3">
        <v>-0.75</v>
      </c>
      <c r="K37" s="4">
        <v>68</v>
      </c>
      <c r="L37" s="4">
        <v>-2</v>
      </c>
      <c r="M37" s="4">
        <v>22341</v>
      </c>
      <c r="N37" s="4">
        <v>19675</v>
      </c>
      <c r="O37" s="3">
        <v>0.13600000000000001</v>
      </c>
      <c r="P37" s="4">
        <v>1521</v>
      </c>
      <c r="Q37" s="4">
        <v>3961</v>
      </c>
      <c r="R37" s="3">
        <v>-0.61599999999999999</v>
      </c>
      <c r="S37" s="4">
        <v>760.28</v>
      </c>
      <c r="T37" s="3">
        <v>0.53600000000000003</v>
      </c>
      <c r="U37" s="4">
        <v>17538</v>
      </c>
      <c r="V37" s="3">
        <v>1.4E-2</v>
      </c>
      <c r="W37" s="3">
        <v>2.5000000000000001E-2</v>
      </c>
      <c r="X37" s="3">
        <v>1.3939999999999999</v>
      </c>
      <c r="Y37" s="3">
        <v>1.36</v>
      </c>
      <c r="Z37" s="3">
        <v>0.48899999999999999</v>
      </c>
      <c r="AA37" s="3">
        <v>0.871</v>
      </c>
      <c r="AB37" s="3">
        <v>1.36</v>
      </c>
      <c r="AC37" s="3">
        <v>0.48899999999999999</v>
      </c>
      <c r="AD37" s="3">
        <v>0.871</v>
      </c>
      <c r="AE37" s="3">
        <v>0</v>
      </c>
      <c r="AF37" s="3">
        <v>0.46400000000000002</v>
      </c>
      <c r="AG37" s="3">
        <v>-0.46400000000000002</v>
      </c>
      <c r="AH37" s="3">
        <v>1.5580000000000001</v>
      </c>
      <c r="AI37" s="3">
        <v>0.69299999999999995</v>
      </c>
      <c r="AJ37" s="3">
        <v>0.86499999999999999</v>
      </c>
      <c r="AK37" s="3">
        <v>1.7275</v>
      </c>
      <c r="AL37" s="4">
        <v>-12759</v>
      </c>
    </row>
    <row r="38" spans="1:38" x14ac:dyDescent="0.25">
      <c r="A38" s="12" t="s">
        <v>61</v>
      </c>
      <c r="B38" s="12" t="s">
        <v>46</v>
      </c>
      <c r="C38" s="2" t="s">
        <v>72</v>
      </c>
      <c r="D38" s="2" t="s">
        <v>72</v>
      </c>
      <c r="E38" s="3">
        <v>1.27</v>
      </c>
      <c r="F38" s="3">
        <v>9.4E-2</v>
      </c>
      <c r="G38" s="3">
        <v>0.192</v>
      </c>
      <c r="H38" s="3">
        <v>0.17</v>
      </c>
      <c r="I38" s="4">
        <v>3</v>
      </c>
      <c r="J38" s="3">
        <v>2</v>
      </c>
      <c r="K38" s="4">
        <v>32</v>
      </c>
      <c r="L38" s="4">
        <v>0</v>
      </c>
      <c r="M38" s="4">
        <v>6969</v>
      </c>
      <c r="N38" s="4">
        <v>4766</v>
      </c>
      <c r="O38" s="3">
        <v>0.46200000000000002</v>
      </c>
      <c r="P38" s="4">
        <v>914</v>
      </c>
      <c r="Q38" s="4">
        <v>186</v>
      </c>
      <c r="R38" s="3">
        <v>3.915</v>
      </c>
      <c r="S38" s="4">
        <v>304.56</v>
      </c>
      <c r="T38" s="3">
        <v>0.63800000000000001</v>
      </c>
      <c r="U38" s="4">
        <v>4059</v>
      </c>
      <c r="V38" s="3">
        <v>0.115</v>
      </c>
      <c r="W38" s="3">
        <v>9.8000000000000004E-2</v>
      </c>
      <c r="X38" s="3">
        <v>0.82299999999999995</v>
      </c>
      <c r="Y38" s="3">
        <v>0.81399999999999995</v>
      </c>
      <c r="Z38" s="3">
        <v>0.79700000000000004</v>
      </c>
      <c r="AA38" s="3">
        <v>1.7000000000000001E-2</v>
      </c>
      <c r="AB38" s="3">
        <v>0.81399999999999995</v>
      </c>
      <c r="AC38" s="3">
        <v>0.79700000000000004</v>
      </c>
      <c r="AD38" s="3">
        <v>1.7000000000000001E-2</v>
      </c>
      <c r="AE38" s="3">
        <v>7.5670000000000002</v>
      </c>
      <c r="AF38" s="3">
        <v>0</v>
      </c>
      <c r="AG38" s="3">
        <v>7.5670000000000002</v>
      </c>
      <c r="AH38" s="3">
        <v>1.0640000000000001</v>
      </c>
      <c r="AI38" s="3">
        <v>1.048</v>
      </c>
      <c r="AJ38" s="3">
        <v>1.6E-2</v>
      </c>
      <c r="AK38" s="3">
        <v>1.31</v>
      </c>
      <c r="AL38" s="4">
        <v>-1259</v>
      </c>
    </row>
    <row r="39" spans="1:38" x14ac:dyDescent="0.25">
      <c r="A39" s="12" t="s">
        <v>61</v>
      </c>
      <c r="B39" s="12" t="s">
        <v>46</v>
      </c>
      <c r="C39" s="5" t="s">
        <v>42</v>
      </c>
      <c r="D39" s="5"/>
      <c r="E39" s="6">
        <v>1.1000000000000001</v>
      </c>
      <c r="F39" s="6">
        <v>6.9000000000000006E-2</v>
      </c>
      <c r="G39" s="6">
        <v>0.1</v>
      </c>
      <c r="H39" s="6">
        <v>3.3000000000000002E-2</v>
      </c>
      <c r="I39" s="7">
        <v>5</v>
      </c>
      <c r="J39" s="6">
        <v>-0.44400000000000001</v>
      </c>
      <c r="K39" s="7">
        <v>100</v>
      </c>
      <c r="L39" s="7">
        <v>-2</v>
      </c>
      <c r="M39" s="7">
        <v>29310</v>
      </c>
      <c r="N39" s="7">
        <v>24441</v>
      </c>
      <c r="O39" s="6">
        <v>0.19900000000000001</v>
      </c>
      <c r="P39" s="7">
        <v>2434</v>
      </c>
      <c r="Q39" s="7">
        <v>4147</v>
      </c>
      <c r="R39" s="6">
        <v>-0.41299999999999998</v>
      </c>
      <c r="S39" s="7">
        <v>486.85</v>
      </c>
      <c r="T39" s="6">
        <v>5.7000000000000002E-2</v>
      </c>
      <c r="U39" s="7">
        <v>21598</v>
      </c>
      <c r="V39" s="6">
        <v>3.1E-2</v>
      </c>
      <c r="W39" s="6">
        <v>3.9E-2</v>
      </c>
      <c r="X39" s="6">
        <v>1.2869999999999999</v>
      </c>
      <c r="Y39" s="6">
        <v>1.258</v>
      </c>
      <c r="Z39" s="6">
        <v>0.54300000000000004</v>
      </c>
      <c r="AA39" s="6">
        <v>0.71499999999999997</v>
      </c>
      <c r="AB39" s="6">
        <v>1.258</v>
      </c>
      <c r="AC39" s="6">
        <v>0.54300000000000004</v>
      </c>
      <c r="AD39" s="6">
        <v>0.71499999999999997</v>
      </c>
      <c r="AE39" s="6">
        <v>5.5860000000000003</v>
      </c>
      <c r="AF39" s="6">
        <v>0.433</v>
      </c>
      <c r="AG39" s="6">
        <v>5.1539999999999999</v>
      </c>
      <c r="AH39" s="6">
        <v>1.4650000000000001</v>
      </c>
      <c r="AI39" s="6">
        <v>0.754</v>
      </c>
      <c r="AJ39" s="6">
        <v>0.71</v>
      </c>
      <c r="AK39" s="6">
        <v>1.649</v>
      </c>
      <c r="AL39" s="7">
        <v>-14017</v>
      </c>
    </row>
    <row r="40" spans="1:38" ht="33.75" x14ac:dyDescent="0.25">
      <c r="A40" s="12" t="s">
        <v>61</v>
      </c>
      <c r="B40" s="12" t="s">
        <v>73</v>
      </c>
      <c r="C40" s="2" t="s">
        <v>73</v>
      </c>
      <c r="D40" s="2" t="s">
        <v>74</v>
      </c>
      <c r="E40" s="3">
        <v>0.53400000000000003</v>
      </c>
      <c r="F40" s="3">
        <v>0</v>
      </c>
      <c r="G40" s="3">
        <v>0.26300000000000001</v>
      </c>
      <c r="H40" s="3">
        <v>0</v>
      </c>
      <c r="I40" s="4">
        <v>1</v>
      </c>
      <c r="J40" s="3">
        <v>-0.5</v>
      </c>
      <c r="K40" s="4">
        <v>10</v>
      </c>
      <c r="L40" s="4">
        <v>1</v>
      </c>
      <c r="M40" s="4">
        <v>1094</v>
      </c>
      <c r="N40" s="4">
        <v>1371</v>
      </c>
      <c r="O40" s="3">
        <v>-0.20200000000000001</v>
      </c>
      <c r="P40" s="4">
        <v>361</v>
      </c>
      <c r="Q40" s="4">
        <v>403</v>
      </c>
      <c r="R40" s="3">
        <v>-0.10299999999999999</v>
      </c>
      <c r="S40" s="4">
        <v>361.2</v>
      </c>
      <c r="T40" s="3">
        <v>-5.6000000000000001E-2</v>
      </c>
      <c r="U40" s="4">
        <v>2565</v>
      </c>
      <c r="V40" s="3">
        <v>-0.22500000000000001</v>
      </c>
      <c r="W40" s="3">
        <v>2.4E-2</v>
      </c>
      <c r="X40" s="3">
        <v>0</v>
      </c>
      <c r="Y40" s="3">
        <v>3.1E-2</v>
      </c>
      <c r="Z40" s="3">
        <v>0.48399999999999999</v>
      </c>
      <c r="AA40" s="3">
        <v>-0.45300000000000001</v>
      </c>
      <c r="AB40" s="3">
        <v>3.1E-2</v>
      </c>
      <c r="AC40" s="3">
        <v>0.48399999999999999</v>
      </c>
      <c r="AD40" s="3">
        <v>-0.45300000000000001</v>
      </c>
      <c r="AE40" s="3">
        <v>0</v>
      </c>
      <c r="AF40" s="3">
        <v>0</v>
      </c>
      <c r="AG40" s="3">
        <v>0</v>
      </c>
      <c r="AH40" s="3">
        <v>0.20599999999999999</v>
      </c>
      <c r="AI40" s="3">
        <v>0.65900000000000003</v>
      </c>
      <c r="AJ40" s="3">
        <v>-0.45300000000000001</v>
      </c>
      <c r="AK40" s="3">
        <v>0.31680000000000003</v>
      </c>
      <c r="AL40" s="4">
        <v>1753</v>
      </c>
    </row>
    <row r="41" spans="1:38" x14ac:dyDescent="0.25">
      <c r="A41" s="12" t="s">
        <v>61</v>
      </c>
      <c r="B41" s="12" t="s">
        <v>73</v>
      </c>
      <c r="C41" s="5" t="s">
        <v>42</v>
      </c>
      <c r="D41" s="5"/>
      <c r="E41" s="6">
        <v>0.53400000000000003</v>
      </c>
      <c r="F41" s="6">
        <v>0</v>
      </c>
      <c r="G41" s="6">
        <v>0.26300000000000001</v>
      </c>
      <c r="H41" s="6">
        <v>0</v>
      </c>
      <c r="I41" s="7">
        <v>1</v>
      </c>
      <c r="J41" s="6">
        <v>-0.5</v>
      </c>
      <c r="K41" s="7">
        <v>10</v>
      </c>
      <c r="L41" s="7">
        <v>1</v>
      </c>
      <c r="M41" s="7">
        <v>1094</v>
      </c>
      <c r="N41" s="7">
        <v>1371</v>
      </c>
      <c r="O41" s="6">
        <v>-0.20200000000000001</v>
      </c>
      <c r="P41" s="7">
        <v>361</v>
      </c>
      <c r="Q41" s="7">
        <v>403</v>
      </c>
      <c r="R41" s="6">
        <v>-0.10299999999999999</v>
      </c>
      <c r="S41" s="7">
        <v>361.2</v>
      </c>
      <c r="T41" s="6">
        <v>-5.6000000000000001E-2</v>
      </c>
      <c r="U41" s="7">
        <v>2565</v>
      </c>
      <c r="V41" s="6">
        <v>-0.22500000000000001</v>
      </c>
      <c r="W41" s="6">
        <v>2.4E-2</v>
      </c>
      <c r="X41" s="6">
        <v>0</v>
      </c>
      <c r="Y41" s="6">
        <v>3.1E-2</v>
      </c>
      <c r="Z41" s="6">
        <v>0.48399999999999999</v>
      </c>
      <c r="AA41" s="6">
        <v>-0.45300000000000001</v>
      </c>
      <c r="AB41" s="6">
        <v>3.1E-2</v>
      </c>
      <c r="AC41" s="6">
        <v>0.48399999999999999</v>
      </c>
      <c r="AD41" s="6">
        <v>-0.45300000000000001</v>
      </c>
      <c r="AE41" s="6">
        <v>0</v>
      </c>
      <c r="AF41" s="6">
        <v>0</v>
      </c>
      <c r="AG41" s="6">
        <v>0</v>
      </c>
      <c r="AH41" s="6">
        <v>0.20599999999999999</v>
      </c>
      <c r="AI41" s="6">
        <v>0.65900000000000003</v>
      </c>
      <c r="AJ41" s="6">
        <v>-0.45300000000000001</v>
      </c>
      <c r="AK41" s="6">
        <v>0.31680000000000003</v>
      </c>
      <c r="AL41" s="7">
        <v>1753</v>
      </c>
    </row>
    <row r="42" spans="1:38" x14ac:dyDescent="0.25">
      <c r="A42" s="12" t="s">
        <v>61</v>
      </c>
      <c r="B42" s="5" t="s">
        <v>42</v>
      </c>
      <c r="C42" s="5"/>
      <c r="D42" s="5"/>
      <c r="E42" s="6">
        <v>0.95199999999999996</v>
      </c>
      <c r="F42" s="6">
        <v>7.0999999999999994E-2</v>
      </c>
      <c r="G42" s="6">
        <v>0.154</v>
      </c>
      <c r="H42" s="6">
        <v>0.11899999999999999</v>
      </c>
      <c r="I42" s="7">
        <v>42</v>
      </c>
      <c r="J42" s="6">
        <v>-0.16</v>
      </c>
      <c r="K42" s="7">
        <v>393</v>
      </c>
      <c r="L42" s="7">
        <v>15</v>
      </c>
      <c r="M42" s="7">
        <v>122344</v>
      </c>
      <c r="N42" s="7">
        <v>110696</v>
      </c>
      <c r="O42" s="6">
        <v>0.105</v>
      </c>
      <c r="P42" s="7">
        <v>17004</v>
      </c>
      <c r="Q42" s="7">
        <v>20005</v>
      </c>
      <c r="R42" s="6">
        <v>-0.15</v>
      </c>
      <c r="S42" s="7">
        <v>422.15</v>
      </c>
      <c r="T42" s="6">
        <v>0</v>
      </c>
      <c r="U42" s="7">
        <v>105703</v>
      </c>
      <c r="V42" s="6">
        <v>-4.2999999999999997E-2</v>
      </c>
      <c r="W42" s="6">
        <v>1.9E-2</v>
      </c>
      <c r="X42" s="6">
        <v>0.69899999999999995</v>
      </c>
      <c r="Y42" s="6">
        <v>0.78500000000000003</v>
      </c>
      <c r="Z42" s="6">
        <v>0.624</v>
      </c>
      <c r="AA42" s="6">
        <v>0.161</v>
      </c>
      <c r="AB42" s="6">
        <v>0.78100000000000003</v>
      </c>
      <c r="AC42" s="6">
        <v>0.62</v>
      </c>
      <c r="AD42" s="6">
        <v>0.161</v>
      </c>
      <c r="AE42" s="6">
        <v>0.45900000000000002</v>
      </c>
      <c r="AF42" s="6">
        <v>0.92700000000000005</v>
      </c>
      <c r="AG42" s="6">
        <v>-0.46800000000000003</v>
      </c>
      <c r="AH42" s="6">
        <v>0.96499999999999997</v>
      </c>
      <c r="AI42" s="6">
        <v>0.80100000000000005</v>
      </c>
      <c r="AJ42" s="6">
        <v>0.16500000000000001</v>
      </c>
      <c r="AK42" s="6">
        <v>1.1102000000000001</v>
      </c>
      <c r="AL42" s="7">
        <v>-11650</v>
      </c>
    </row>
    <row r="43" spans="1:38" x14ac:dyDescent="0.25">
      <c r="A43" s="2" t="s">
        <v>75</v>
      </c>
      <c r="B43" s="2" t="s">
        <v>75</v>
      </c>
      <c r="C43" s="2" t="s">
        <v>75</v>
      </c>
      <c r="D43" s="2" t="s">
        <v>75</v>
      </c>
      <c r="E43" s="6">
        <v>0.92600000000000005</v>
      </c>
      <c r="F43" s="6">
        <v>6.8000000000000005E-2</v>
      </c>
      <c r="G43" s="6">
        <v>0.124</v>
      </c>
      <c r="H43" s="6">
        <v>8.7999999999999995E-2</v>
      </c>
      <c r="I43" s="7">
        <v>360</v>
      </c>
      <c r="J43" s="6">
        <v>0.20399999999999999</v>
      </c>
      <c r="K43" s="7">
        <v>4263</v>
      </c>
      <c r="L43" s="7">
        <v>77</v>
      </c>
      <c r="M43" s="7">
        <v>789627</v>
      </c>
      <c r="N43" s="7">
        <v>751828</v>
      </c>
      <c r="O43" s="6">
        <v>0.05</v>
      </c>
      <c r="P43" s="7">
        <v>93066</v>
      </c>
      <c r="Q43" s="7">
        <v>94560</v>
      </c>
      <c r="R43" s="6">
        <v>-1.6E-2</v>
      </c>
      <c r="S43" s="7">
        <v>268.20999999999998</v>
      </c>
      <c r="T43" s="6">
        <v>-0.20300000000000001</v>
      </c>
      <c r="U43" s="7">
        <v>695347</v>
      </c>
      <c r="V43" s="6">
        <v>1.4999999999999999E-2</v>
      </c>
      <c r="W43" s="6">
        <v>0.01</v>
      </c>
      <c r="X43" s="6">
        <v>0.73199999999999998</v>
      </c>
      <c r="Y43" s="6">
        <v>0.76200000000000001</v>
      </c>
      <c r="Z43" s="6">
        <v>0.60799999999999998</v>
      </c>
      <c r="AA43" s="6">
        <v>0.154</v>
      </c>
      <c r="AB43" s="6">
        <v>0.76200000000000001</v>
      </c>
      <c r="AC43" s="6">
        <v>0.60699999999999998</v>
      </c>
      <c r="AD43" s="6">
        <v>0.155</v>
      </c>
      <c r="AE43" s="6">
        <v>0.71799999999999997</v>
      </c>
      <c r="AF43" s="6">
        <v>0.63600000000000001</v>
      </c>
      <c r="AG43" s="6">
        <v>8.2000000000000003E-2</v>
      </c>
      <c r="AH43" s="6">
        <v>0.88500000000000001</v>
      </c>
      <c r="AI43" s="6">
        <v>0.73099999999999998</v>
      </c>
      <c r="AJ43" s="6">
        <v>0.154</v>
      </c>
      <c r="AK43" s="6">
        <v>1.052</v>
      </c>
      <c r="AL43" s="7">
        <v>-36187</v>
      </c>
    </row>
    <row r="45" spans="1:38" x14ac:dyDescent="0.25">
      <c r="A45" t="s">
        <v>76</v>
      </c>
      <c r="B45" t="s">
        <v>76</v>
      </c>
      <c r="C45" t="s">
        <v>76</v>
      </c>
    </row>
    <row r="46" spans="1:38" x14ac:dyDescent="0.25">
      <c r="A46" s="9" t="s">
        <v>108</v>
      </c>
      <c r="B46" s="9" t="s">
        <v>110</v>
      </c>
    </row>
  </sheetData>
  <mergeCells count="18">
    <mergeCell ref="C19:C20"/>
    <mergeCell ref="A4:AL4"/>
    <mergeCell ref="A5:AL5"/>
    <mergeCell ref="A7:A25"/>
    <mergeCell ref="A26:A42"/>
    <mergeCell ref="B7:B9"/>
    <mergeCell ref="B10:B11"/>
    <mergeCell ref="B12:B13"/>
    <mergeCell ref="B14:B15"/>
    <mergeCell ref="B35:B36"/>
    <mergeCell ref="B37:B39"/>
    <mergeCell ref="B16:B22"/>
    <mergeCell ref="B23:B24"/>
    <mergeCell ref="B26:B27"/>
    <mergeCell ref="B28:B29"/>
    <mergeCell ref="B30:B32"/>
    <mergeCell ref="B33:B34"/>
    <mergeCell ref="B40:B41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6A5F-02FB-41FE-8E76-3A049E61F96A}">
  <dimension ref="A4:AM46"/>
  <sheetViews>
    <sheetView topLeftCell="A24" workbookViewId="0">
      <selection activeCell="AI45" sqref="AI45"/>
    </sheetView>
  </sheetViews>
  <sheetFormatPr baseColWidth="10" defaultRowHeight="15" x14ac:dyDescent="0.25"/>
  <sheetData>
    <row r="4" spans="1:39" ht="20.25" x14ac:dyDescent="0.25">
      <c r="A4" s="10" t="s">
        <v>109</v>
      </c>
      <c r="B4" s="10" t="s">
        <v>109</v>
      </c>
      <c r="C4" s="10" t="s">
        <v>109</v>
      </c>
      <c r="D4" s="10" t="s">
        <v>109</v>
      </c>
      <c r="E4" s="10" t="s">
        <v>109</v>
      </c>
      <c r="F4" s="10" t="s">
        <v>109</v>
      </c>
      <c r="G4" s="10" t="s">
        <v>109</v>
      </c>
      <c r="H4" s="10" t="s">
        <v>109</v>
      </c>
      <c r="I4" s="10" t="s">
        <v>109</v>
      </c>
      <c r="J4" s="10" t="s">
        <v>109</v>
      </c>
      <c r="K4" s="10" t="s">
        <v>109</v>
      </c>
      <c r="L4" s="10" t="s">
        <v>109</v>
      </c>
      <c r="M4" s="10" t="s">
        <v>109</v>
      </c>
      <c r="N4" s="10" t="s">
        <v>109</v>
      </c>
      <c r="O4" s="10"/>
      <c r="P4" s="10" t="s">
        <v>109</v>
      </c>
      <c r="Q4" s="10" t="s">
        <v>109</v>
      </c>
      <c r="R4" s="10" t="s">
        <v>109</v>
      </c>
      <c r="S4" s="10" t="s">
        <v>109</v>
      </c>
      <c r="T4" s="10" t="s">
        <v>109</v>
      </c>
      <c r="U4" s="10" t="s">
        <v>109</v>
      </c>
      <c r="V4" s="10" t="s">
        <v>109</v>
      </c>
      <c r="W4" s="10" t="s">
        <v>109</v>
      </c>
      <c r="X4" s="10" t="s">
        <v>109</v>
      </c>
      <c r="Y4" s="10" t="s">
        <v>109</v>
      </c>
      <c r="Z4" s="10" t="s">
        <v>109</v>
      </c>
      <c r="AA4" s="10" t="s">
        <v>109</v>
      </c>
      <c r="AB4" s="10" t="s">
        <v>109</v>
      </c>
      <c r="AC4" s="10" t="s">
        <v>109</v>
      </c>
      <c r="AD4" s="10" t="s">
        <v>109</v>
      </c>
      <c r="AE4" s="10" t="s">
        <v>109</v>
      </c>
      <c r="AF4" s="10" t="s">
        <v>109</v>
      </c>
      <c r="AG4" s="10" t="s">
        <v>109</v>
      </c>
      <c r="AH4" s="10" t="s">
        <v>109</v>
      </c>
      <c r="AI4" s="10" t="s">
        <v>109</v>
      </c>
      <c r="AJ4" s="10" t="s">
        <v>109</v>
      </c>
      <c r="AK4" s="10" t="s">
        <v>109</v>
      </c>
      <c r="AL4" s="10" t="s">
        <v>109</v>
      </c>
      <c r="AM4" s="10" t="s">
        <v>109</v>
      </c>
    </row>
    <row r="5" spans="1:39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/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  <c r="AM5" s="11" t="s">
        <v>1</v>
      </c>
    </row>
    <row r="6" spans="1:39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92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27</v>
      </c>
      <c r="AF6" s="1" t="s">
        <v>30</v>
      </c>
      <c r="AG6" s="1" t="s">
        <v>31</v>
      </c>
      <c r="AH6" s="1" t="s">
        <v>27</v>
      </c>
      <c r="AI6" s="1" t="s">
        <v>32</v>
      </c>
      <c r="AJ6" s="1" t="s">
        <v>33</v>
      </c>
      <c r="AK6" s="1" t="s">
        <v>34</v>
      </c>
      <c r="AL6" s="1" t="s">
        <v>35</v>
      </c>
      <c r="AM6" s="1" t="s">
        <v>36</v>
      </c>
    </row>
    <row r="7" spans="1:39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1.008</v>
      </c>
      <c r="F7" s="3">
        <v>3.6999999999999998E-2</v>
      </c>
      <c r="G7" s="3">
        <v>0.14899999999999999</v>
      </c>
      <c r="H7" s="3">
        <v>0.13500000000000001</v>
      </c>
      <c r="I7" s="4">
        <v>6</v>
      </c>
      <c r="J7" s="8"/>
      <c r="K7" s="4">
        <v>32</v>
      </c>
      <c r="L7" s="4">
        <v>5</v>
      </c>
      <c r="M7" s="4">
        <v>5448</v>
      </c>
      <c r="N7" s="4">
        <v>4706</v>
      </c>
      <c r="O7" s="4">
        <f t="shared" ref="O7:O43" si="0">M7-N7</f>
        <v>742</v>
      </c>
      <c r="P7" s="3">
        <v>0.158</v>
      </c>
      <c r="Q7" s="4">
        <v>703</v>
      </c>
      <c r="R7" s="4">
        <v>0</v>
      </c>
      <c r="S7" s="8"/>
      <c r="T7" s="4">
        <v>117.19</v>
      </c>
      <c r="U7" s="8"/>
      <c r="V7" s="4">
        <v>3987</v>
      </c>
      <c r="W7" s="3">
        <v>1.6E-2</v>
      </c>
      <c r="X7" s="3">
        <v>1.4999999999999999E-2</v>
      </c>
      <c r="Y7" s="3">
        <v>0</v>
      </c>
      <c r="Z7" s="3">
        <v>0.14499999999999999</v>
      </c>
      <c r="AA7" s="3">
        <v>0.14499999999999999</v>
      </c>
      <c r="AB7" s="3">
        <v>0</v>
      </c>
      <c r="AC7" s="3">
        <v>0.14499999999999999</v>
      </c>
      <c r="AD7" s="3">
        <v>0.14499999999999999</v>
      </c>
      <c r="AE7" s="3">
        <v>0</v>
      </c>
      <c r="AF7" s="3">
        <v>0</v>
      </c>
      <c r="AG7" s="8"/>
      <c r="AH7" s="8"/>
      <c r="AI7" s="3">
        <v>0.36299999999999999</v>
      </c>
      <c r="AJ7" s="3">
        <v>0.37</v>
      </c>
      <c r="AK7" s="3">
        <v>-7.0000000000000001E-3</v>
      </c>
      <c r="AL7" s="3">
        <v>0</v>
      </c>
      <c r="AM7" s="4">
        <v>0</v>
      </c>
    </row>
    <row r="8" spans="1:39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1.014</v>
      </c>
      <c r="F8" s="3">
        <v>0.02</v>
      </c>
      <c r="G8" s="3">
        <v>0</v>
      </c>
      <c r="H8" s="3">
        <v>0</v>
      </c>
      <c r="I8" s="4">
        <v>0</v>
      </c>
      <c r="J8" s="3">
        <v>-1</v>
      </c>
      <c r="K8" s="4">
        <v>48</v>
      </c>
      <c r="L8" s="4">
        <v>-1</v>
      </c>
      <c r="M8" s="4">
        <v>5842</v>
      </c>
      <c r="N8" s="4">
        <v>5760</v>
      </c>
      <c r="O8" s="4">
        <f t="shared" si="0"/>
        <v>82</v>
      </c>
      <c r="P8" s="3">
        <v>1.4E-2</v>
      </c>
      <c r="Q8" s="4">
        <v>0</v>
      </c>
      <c r="R8" s="4">
        <v>332</v>
      </c>
      <c r="S8" s="3">
        <v>-1</v>
      </c>
      <c r="T8" s="8"/>
      <c r="U8" s="8"/>
      <c r="V8" s="4">
        <v>5016</v>
      </c>
      <c r="W8" s="3">
        <v>9.4E-2</v>
      </c>
      <c r="X8" s="3">
        <v>0</v>
      </c>
      <c r="Y8" s="3">
        <v>0</v>
      </c>
      <c r="Z8" s="3">
        <v>-4.0000000000000001E-3</v>
      </c>
      <c r="AA8" s="3">
        <v>-4.0000000000000001E-3</v>
      </c>
      <c r="AB8" s="3">
        <v>0</v>
      </c>
      <c r="AC8" s="3">
        <v>-4.0000000000000001E-3</v>
      </c>
      <c r="AD8" s="3">
        <v>-4.0000000000000001E-3</v>
      </c>
      <c r="AE8" s="3">
        <v>0</v>
      </c>
      <c r="AF8" s="8"/>
      <c r="AG8" s="3">
        <v>0</v>
      </c>
      <c r="AH8" s="8"/>
      <c r="AI8" s="3">
        <v>0.25600000000000001</v>
      </c>
      <c r="AJ8" s="3">
        <v>0.26800000000000002</v>
      </c>
      <c r="AK8" s="3">
        <v>-1.2E-2</v>
      </c>
      <c r="AL8" s="3">
        <v>0</v>
      </c>
      <c r="AM8" s="4">
        <v>0</v>
      </c>
    </row>
    <row r="9" spans="1:39" x14ac:dyDescent="0.25">
      <c r="A9" s="12" t="s">
        <v>37</v>
      </c>
      <c r="B9" s="12" t="s">
        <v>38</v>
      </c>
      <c r="C9" s="5" t="s">
        <v>42</v>
      </c>
      <c r="D9" s="5"/>
      <c r="E9" s="6">
        <v>1.0109999999999999</v>
      </c>
      <c r="F9" s="6">
        <v>2.5999999999999999E-2</v>
      </c>
      <c r="G9" s="6">
        <v>6.7000000000000004E-2</v>
      </c>
      <c r="H9" s="6">
        <v>6.0999999999999999E-2</v>
      </c>
      <c r="I9" s="7">
        <v>6</v>
      </c>
      <c r="J9" s="6">
        <v>2</v>
      </c>
      <c r="K9" s="7">
        <v>80</v>
      </c>
      <c r="L9" s="7">
        <v>4</v>
      </c>
      <c r="M9" s="7">
        <v>11290</v>
      </c>
      <c r="N9" s="7">
        <v>10466</v>
      </c>
      <c r="O9" s="4">
        <f t="shared" si="0"/>
        <v>824</v>
      </c>
      <c r="P9" s="6">
        <v>7.9000000000000001E-2</v>
      </c>
      <c r="Q9" s="7">
        <v>703</v>
      </c>
      <c r="R9" s="7">
        <v>332</v>
      </c>
      <c r="S9" s="6">
        <v>1.1160000000000001</v>
      </c>
      <c r="T9" s="7">
        <v>117.19</v>
      </c>
      <c r="U9" s="6">
        <v>-0.29499999999999998</v>
      </c>
      <c r="V9" s="7">
        <v>9003</v>
      </c>
      <c r="W9" s="6">
        <v>5.8000000000000003E-2</v>
      </c>
      <c r="X9" s="6">
        <v>7.0000000000000001E-3</v>
      </c>
      <c r="Y9" s="6">
        <v>0</v>
      </c>
      <c r="Z9" s="6">
        <v>6.2E-2</v>
      </c>
      <c r="AA9" s="6">
        <v>6.5000000000000002E-2</v>
      </c>
      <c r="AB9" s="6">
        <v>-3.0000000000000001E-3</v>
      </c>
      <c r="AC9" s="6">
        <v>6.2E-2</v>
      </c>
      <c r="AD9" s="6">
        <v>6.5000000000000002E-2</v>
      </c>
      <c r="AE9" s="6">
        <v>-3.0000000000000001E-3</v>
      </c>
      <c r="AF9" s="6">
        <v>0</v>
      </c>
      <c r="AG9" s="6">
        <v>0</v>
      </c>
      <c r="AH9" s="6">
        <v>0</v>
      </c>
      <c r="AI9" s="6">
        <v>0.30399999999999999</v>
      </c>
      <c r="AJ9" s="6">
        <v>0.315</v>
      </c>
      <c r="AK9" s="6">
        <v>-1.2E-2</v>
      </c>
      <c r="AL9" s="6">
        <v>0</v>
      </c>
      <c r="AM9" s="7">
        <v>0</v>
      </c>
    </row>
    <row r="10" spans="1:39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0.91600000000000004</v>
      </c>
      <c r="F10" s="3">
        <v>7.8E-2</v>
      </c>
      <c r="G10" s="3">
        <v>0.11899999999999999</v>
      </c>
      <c r="H10" s="3">
        <v>8.5000000000000006E-2</v>
      </c>
      <c r="I10" s="4">
        <v>297</v>
      </c>
      <c r="J10" s="3">
        <v>0.47</v>
      </c>
      <c r="K10" s="4">
        <v>2735</v>
      </c>
      <c r="L10" s="4">
        <v>90</v>
      </c>
      <c r="M10" s="4">
        <v>632143</v>
      </c>
      <c r="N10" s="4">
        <v>610470</v>
      </c>
      <c r="O10" s="4">
        <f t="shared" si="0"/>
        <v>21673</v>
      </c>
      <c r="P10" s="3">
        <v>3.5999999999999997E-2</v>
      </c>
      <c r="Q10" s="4">
        <v>72721</v>
      </c>
      <c r="R10" s="4">
        <v>67340</v>
      </c>
      <c r="S10" s="3">
        <v>0.08</v>
      </c>
      <c r="T10" s="4">
        <v>249.43</v>
      </c>
      <c r="U10" s="3">
        <v>-0.28799999999999998</v>
      </c>
      <c r="V10" s="4">
        <v>547746</v>
      </c>
      <c r="W10" s="3">
        <v>1.7999999999999999E-2</v>
      </c>
      <c r="X10" s="3">
        <v>1.6E-2</v>
      </c>
      <c r="Y10" s="3">
        <v>0.76400000000000001</v>
      </c>
      <c r="Z10" s="3">
        <v>0.77500000000000002</v>
      </c>
      <c r="AA10" s="3">
        <v>0.61499999999999999</v>
      </c>
      <c r="AB10" s="3">
        <v>0.16</v>
      </c>
      <c r="AC10" s="3">
        <v>0.77500000000000002</v>
      </c>
      <c r="AD10" s="3">
        <v>0.61499999999999999</v>
      </c>
      <c r="AE10" s="3">
        <v>0.16</v>
      </c>
      <c r="AF10" s="3">
        <v>0.82099999999999995</v>
      </c>
      <c r="AG10" s="3">
        <v>0.58199999999999996</v>
      </c>
      <c r="AH10" s="3">
        <v>0.23899999999999999</v>
      </c>
      <c r="AI10" s="3">
        <v>0.86099999999999999</v>
      </c>
      <c r="AJ10" s="3">
        <v>0.70099999999999996</v>
      </c>
      <c r="AK10" s="3">
        <v>0.16</v>
      </c>
      <c r="AL10" s="3">
        <v>0</v>
      </c>
      <c r="AM10" s="4">
        <v>0</v>
      </c>
    </row>
    <row r="11" spans="1:39" x14ac:dyDescent="0.25">
      <c r="A11" s="12" t="s">
        <v>37</v>
      </c>
      <c r="B11" s="12" t="s">
        <v>43</v>
      </c>
      <c r="C11" s="5" t="s">
        <v>42</v>
      </c>
      <c r="D11" s="5"/>
      <c r="E11" s="6">
        <v>0.91600000000000004</v>
      </c>
      <c r="F11" s="6">
        <v>7.8E-2</v>
      </c>
      <c r="G11" s="6">
        <v>0.11899999999999999</v>
      </c>
      <c r="H11" s="6">
        <v>8.5000000000000006E-2</v>
      </c>
      <c r="I11" s="7">
        <v>297</v>
      </c>
      <c r="J11" s="6">
        <v>0.47</v>
      </c>
      <c r="K11" s="7">
        <v>2735</v>
      </c>
      <c r="L11" s="7">
        <v>90</v>
      </c>
      <c r="M11" s="7">
        <v>632143</v>
      </c>
      <c r="N11" s="7">
        <v>610470</v>
      </c>
      <c r="O11" s="4">
        <f t="shared" si="0"/>
        <v>21673</v>
      </c>
      <c r="P11" s="6">
        <v>3.5999999999999997E-2</v>
      </c>
      <c r="Q11" s="7">
        <v>72721</v>
      </c>
      <c r="R11" s="7">
        <v>67340</v>
      </c>
      <c r="S11" s="6">
        <v>0.08</v>
      </c>
      <c r="T11" s="7">
        <v>249.43</v>
      </c>
      <c r="U11" s="6">
        <v>-0.28799999999999998</v>
      </c>
      <c r="V11" s="7">
        <v>547746</v>
      </c>
      <c r="W11" s="6">
        <v>1.7999999999999999E-2</v>
      </c>
      <c r="X11" s="6">
        <v>1.6E-2</v>
      </c>
      <c r="Y11" s="6">
        <v>0.76400000000000001</v>
      </c>
      <c r="Z11" s="6">
        <v>0.77500000000000002</v>
      </c>
      <c r="AA11" s="6">
        <v>0.61499999999999999</v>
      </c>
      <c r="AB11" s="6">
        <v>0.16</v>
      </c>
      <c r="AC11" s="6">
        <v>0.77500000000000002</v>
      </c>
      <c r="AD11" s="6">
        <v>0.61499999999999999</v>
      </c>
      <c r="AE11" s="6">
        <v>0.16</v>
      </c>
      <c r="AF11" s="6">
        <v>0.82099999999999995</v>
      </c>
      <c r="AG11" s="6">
        <v>0.58199999999999996</v>
      </c>
      <c r="AH11" s="6">
        <v>0.23899999999999999</v>
      </c>
      <c r="AI11" s="6">
        <v>0.86099999999999999</v>
      </c>
      <c r="AJ11" s="6">
        <v>0.70099999999999996</v>
      </c>
      <c r="AK11" s="6">
        <v>0.16</v>
      </c>
      <c r="AL11" s="6">
        <v>0</v>
      </c>
      <c r="AM11" s="7">
        <v>0</v>
      </c>
    </row>
    <row r="12" spans="1:39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0.94</v>
      </c>
      <c r="F12" s="3">
        <v>5.2999999999999999E-2</v>
      </c>
      <c r="G12" s="3">
        <v>0.107</v>
      </c>
      <c r="H12" s="3">
        <v>6.5000000000000002E-2</v>
      </c>
      <c r="I12" s="4">
        <v>49</v>
      </c>
      <c r="J12" s="3">
        <v>-5.8000000000000003E-2</v>
      </c>
      <c r="K12" s="4">
        <v>802</v>
      </c>
      <c r="L12" s="4">
        <v>7</v>
      </c>
      <c r="M12" s="4">
        <v>98671</v>
      </c>
      <c r="N12" s="4">
        <v>94261</v>
      </c>
      <c r="O12" s="4">
        <f t="shared" si="0"/>
        <v>4410</v>
      </c>
      <c r="P12" s="3">
        <v>4.7E-2</v>
      </c>
      <c r="Q12" s="4">
        <v>10083</v>
      </c>
      <c r="R12" s="4">
        <v>9285</v>
      </c>
      <c r="S12" s="3">
        <v>8.5999999999999993E-2</v>
      </c>
      <c r="T12" s="4">
        <v>205.78</v>
      </c>
      <c r="U12" s="3">
        <v>0.153</v>
      </c>
      <c r="V12" s="4">
        <v>98246</v>
      </c>
      <c r="W12" s="3">
        <v>4.3999999999999997E-2</v>
      </c>
      <c r="X12" s="3">
        <v>4.0000000000000001E-3</v>
      </c>
      <c r="Y12" s="3">
        <v>0.50800000000000001</v>
      </c>
      <c r="Z12" s="3">
        <v>0.56299999999999994</v>
      </c>
      <c r="AA12" s="3">
        <v>0.65400000000000003</v>
      </c>
      <c r="AB12" s="3">
        <v>-9.0999999999999998E-2</v>
      </c>
      <c r="AC12" s="3">
        <v>0.56299999999999994</v>
      </c>
      <c r="AD12" s="3">
        <v>0.65400000000000003</v>
      </c>
      <c r="AE12" s="3">
        <v>-9.0999999999999998E-2</v>
      </c>
      <c r="AF12" s="3">
        <v>0.36799999999999999</v>
      </c>
      <c r="AG12" s="3">
        <v>0.52500000000000002</v>
      </c>
      <c r="AH12" s="3">
        <v>-0.157</v>
      </c>
      <c r="AI12" s="3">
        <v>0.78300000000000003</v>
      </c>
      <c r="AJ12" s="3">
        <v>0.874</v>
      </c>
      <c r="AK12" s="3">
        <v>-9.0999999999999998E-2</v>
      </c>
      <c r="AL12" s="3">
        <v>0</v>
      </c>
      <c r="AM12" s="4">
        <v>0</v>
      </c>
    </row>
    <row r="13" spans="1:39" x14ac:dyDescent="0.25">
      <c r="A13" s="12" t="s">
        <v>37</v>
      </c>
      <c r="B13" s="12" t="s">
        <v>45</v>
      </c>
      <c r="C13" s="5" t="s">
        <v>42</v>
      </c>
      <c r="D13" s="5"/>
      <c r="E13" s="6">
        <v>0.94</v>
      </c>
      <c r="F13" s="6">
        <v>5.2999999999999999E-2</v>
      </c>
      <c r="G13" s="6">
        <v>0.107</v>
      </c>
      <c r="H13" s="6">
        <v>6.5000000000000002E-2</v>
      </c>
      <c r="I13" s="7">
        <v>49</v>
      </c>
      <c r="J13" s="6">
        <v>-5.8000000000000003E-2</v>
      </c>
      <c r="K13" s="7">
        <v>802</v>
      </c>
      <c r="L13" s="7">
        <v>7</v>
      </c>
      <c r="M13" s="7">
        <v>98671</v>
      </c>
      <c r="N13" s="7">
        <v>94261</v>
      </c>
      <c r="O13" s="4">
        <f t="shared" si="0"/>
        <v>4410</v>
      </c>
      <c r="P13" s="6">
        <v>4.7E-2</v>
      </c>
      <c r="Q13" s="7">
        <v>10083</v>
      </c>
      <c r="R13" s="7">
        <v>9285</v>
      </c>
      <c r="S13" s="6">
        <v>8.5999999999999993E-2</v>
      </c>
      <c r="T13" s="7">
        <v>205.78</v>
      </c>
      <c r="U13" s="6">
        <v>0.153</v>
      </c>
      <c r="V13" s="7">
        <v>98246</v>
      </c>
      <c r="W13" s="6">
        <v>4.3999999999999997E-2</v>
      </c>
      <c r="X13" s="6">
        <v>4.0000000000000001E-3</v>
      </c>
      <c r="Y13" s="6">
        <v>0.50800000000000001</v>
      </c>
      <c r="Z13" s="6">
        <v>0.56299999999999994</v>
      </c>
      <c r="AA13" s="6">
        <v>0.65400000000000003</v>
      </c>
      <c r="AB13" s="6">
        <v>-9.0999999999999998E-2</v>
      </c>
      <c r="AC13" s="6">
        <v>0.56299999999999994</v>
      </c>
      <c r="AD13" s="6">
        <v>0.65400000000000003</v>
      </c>
      <c r="AE13" s="6">
        <v>-9.0999999999999998E-2</v>
      </c>
      <c r="AF13" s="6">
        <v>0.36799999999999999</v>
      </c>
      <c r="AG13" s="6">
        <v>0.52500000000000002</v>
      </c>
      <c r="AH13" s="6">
        <v>-0.157</v>
      </c>
      <c r="AI13" s="6">
        <v>0.78300000000000003</v>
      </c>
      <c r="AJ13" s="6">
        <v>0.874</v>
      </c>
      <c r="AK13" s="6">
        <v>-9.0999999999999998E-2</v>
      </c>
      <c r="AL13" s="6">
        <v>0</v>
      </c>
      <c r="AM13" s="7">
        <v>0</v>
      </c>
    </row>
    <row r="14" spans="1:39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1.002</v>
      </c>
      <c r="F14" s="3">
        <v>4.2000000000000003E-2</v>
      </c>
      <c r="G14" s="3">
        <v>4.2000000000000003E-2</v>
      </c>
      <c r="H14" s="3">
        <v>4.2000000000000003E-2</v>
      </c>
      <c r="I14" s="4">
        <v>1</v>
      </c>
      <c r="J14" s="3">
        <v>0</v>
      </c>
      <c r="K14" s="4">
        <v>24</v>
      </c>
      <c r="L14" s="4">
        <v>0</v>
      </c>
      <c r="M14" s="4">
        <v>8623</v>
      </c>
      <c r="N14" s="4">
        <v>8265</v>
      </c>
      <c r="O14" s="4">
        <f t="shared" si="0"/>
        <v>358</v>
      </c>
      <c r="P14" s="3">
        <v>4.2999999999999997E-2</v>
      </c>
      <c r="Q14" s="4">
        <v>344</v>
      </c>
      <c r="R14" s="4">
        <v>994</v>
      </c>
      <c r="S14" s="3">
        <v>-0.65400000000000003</v>
      </c>
      <c r="T14" s="4">
        <v>343.77</v>
      </c>
      <c r="U14" s="3">
        <v>-0.65400000000000003</v>
      </c>
      <c r="V14" s="4">
        <v>10113</v>
      </c>
      <c r="W14" s="3">
        <v>3.1E-2</v>
      </c>
      <c r="X14" s="3">
        <v>0</v>
      </c>
      <c r="Y14" s="3">
        <v>1.395</v>
      </c>
      <c r="Z14" s="3">
        <v>1.4750000000000001</v>
      </c>
      <c r="AA14" s="3">
        <v>0.51</v>
      </c>
      <c r="AB14" s="3">
        <v>0.96399999999999997</v>
      </c>
      <c r="AC14" s="3">
        <v>1.4750000000000001</v>
      </c>
      <c r="AD14" s="3">
        <v>0.51</v>
      </c>
      <c r="AE14" s="3">
        <v>0.96399999999999997</v>
      </c>
      <c r="AF14" s="3">
        <v>0</v>
      </c>
      <c r="AG14" s="3">
        <v>0</v>
      </c>
      <c r="AH14" s="3">
        <v>0</v>
      </c>
      <c r="AI14" s="3">
        <v>1.675</v>
      </c>
      <c r="AJ14" s="3">
        <v>0.71</v>
      </c>
      <c r="AK14" s="3">
        <v>0.96399999999999997</v>
      </c>
      <c r="AL14" s="3">
        <v>0</v>
      </c>
      <c r="AM14" s="4">
        <v>0</v>
      </c>
    </row>
    <row r="15" spans="1:39" x14ac:dyDescent="0.25">
      <c r="A15" s="12" t="s">
        <v>37</v>
      </c>
      <c r="B15" s="12" t="s">
        <v>46</v>
      </c>
      <c r="C15" s="5" t="s">
        <v>42</v>
      </c>
      <c r="D15" s="5"/>
      <c r="E15" s="6">
        <v>1.002</v>
      </c>
      <c r="F15" s="6">
        <v>4.2000000000000003E-2</v>
      </c>
      <c r="G15" s="6">
        <v>4.2000000000000003E-2</v>
      </c>
      <c r="H15" s="6">
        <v>4.2000000000000003E-2</v>
      </c>
      <c r="I15" s="7">
        <v>1</v>
      </c>
      <c r="J15" s="6">
        <v>0</v>
      </c>
      <c r="K15" s="7">
        <v>24</v>
      </c>
      <c r="L15" s="7">
        <v>0</v>
      </c>
      <c r="M15" s="7">
        <v>8623</v>
      </c>
      <c r="N15" s="7">
        <v>8265</v>
      </c>
      <c r="O15" s="4">
        <f t="shared" si="0"/>
        <v>358</v>
      </c>
      <c r="P15" s="6">
        <v>4.2999999999999997E-2</v>
      </c>
      <c r="Q15" s="7">
        <v>344</v>
      </c>
      <c r="R15" s="7">
        <v>994</v>
      </c>
      <c r="S15" s="6">
        <v>-0.65400000000000003</v>
      </c>
      <c r="T15" s="7">
        <v>343.77</v>
      </c>
      <c r="U15" s="6">
        <v>-0.65400000000000003</v>
      </c>
      <c r="V15" s="7">
        <v>10113</v>
      </c>
      <c r="W15" s="6">
        <v>3.1E-2</v>
      </c>
      <c r="X15" s="6">
        <v>0</v>
      </c>
      <c r="Y15" s="6">
        <v>1.395</v>
      </c>
      <c r="Z15" s="6">
        <v>1.4750000000000001</v>
      </c>
      <c r="AA15" s="6">
        <v>0.51</v>
      </c>
      <c r="AB15" s="6">
        <v>0.96399999999999997</v>
      </c>
      <c r="AC15" s="6">
        <v>1.4750000000000001</v>
      </c>
      <c r="AD15" s="6">
        <v>0.51</v>
      </c>
      <c r="AE15" s="6">
        <v>0.96399999999999997</v>
      </c>
      <c r="AF15" s="6">
        <v>0</v>
      </c>
      <c r="AG15" s="6">
        <v>0</v>
      </c>
      <c r="AH15" s="6">
        <v>0</v>
      </c>
      <c r="AI15" s="6">
        <v>1.675</v>
      </c>
      <c r="AJ15" s="6">
        <v>0.71</v>
      </c>
      <c r="AK15" s="6">
        <v>0.96399999999999997</v>
      </c>
      <c r="AL15" s="6">
        <v>0</v>
      </c>
      <c r="AM15" s="7">
        <v>0</v>
      </c>
    </row>
    <row r="16" spans="1:39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7</v>
      </c>
      <c r="G16" s="3">
        <v>0.48199999999999998</v>
      </c>
      <c r="H16" s="3">
        <v>0.214</v>
      </c>
      <c r="I16" s="4">
        <v>9</v>
      </c>
      <c r="J16" s="3">
        <v>0.5</v>
      </c>
      <c r="K16" s="4">
        <v>3</v>
      </c>
      <c r="L16" s="4">
        <v>2</v>
      </c>
      <c r="M16" s="4">
        <v>570</v>
      </c>
      <c r="N16" s="4">
        <v>1183</v>
      </c>
      <c r="O16" s="4">
        <f t="shared" si="0"/>
        <v>-613</v>
      </c>
      <c r="P16" s="3">
        <v>-0.51800000000000002</v>
      </c>
      <c r="Q16" s="4">
        <v>570</v>
      </c>
      <c r="R16" s="4">
        <v>1183</v>
      </c>
      <c r="S16" s="3">
        <v>-0.51800000000000002</v>
      </c>
      <c r="T16" s="4">
        <v>1665.83</v>
      </c>
      <c r="U16" s="3">
        <v>0.17299999999999999</v>
      </c>
      <c r="V16" s="4">
        <v>679</v>
      </c>
      <c r="W16" s="3">
        <v>-0.442</v>
      </c>
      <c r="X16" s="3">
        <v>2.8000000000000001E-2</v>
      </c>
      <c r="Y16" s="3">
        <v>0.68799999999999994</v>
      </c>
      <c r="Z16" s="3">
        <v>0.72699999999999998</v>
      </c>
      <c r="AA16" s="3">
        <v>0.78</v>
      </c>
      <c r="AB16" s="3">
        <v>-5.2999999999999999E-2</v>
      </c>
      <c r="AC16" s="3">
        <v>0.72699999999999998</v>
      </c>
      <c r="AD16" s="3">
        <v>0.78</v>
      </c>
      <c r="AE16" s="3">
        <v>-5.2999999999999999E-2</v>
      </c>
      <c r="AF16" s="3">
        <v>0.82899999999999996</v>
      </c>
      <c r="AG16" s="3">
        <v>0.76300000000000001</v>
      </c>
      <c r="AH16" s="3">
        <v>6.6000000000000003E-2</v>
      </c>
      <c r="AI16" s="3">
        <v>0.877</v>
      </c>
      <c r="AJ16" s="3">
        <v>0.93</v>
      </c>
      <c r="AK16" s="3">
        <v>-5.3999999999999999E-2</v>
      </c>
      <c r="AL16" s="3">
        <v>0</v>
      </c>
      <c r="AM16" s="4">
        <v>0</v>
      </c>
    </row>
    <row r="17" spans="1:39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0.58499999999999996</v>
      </c>
      <c r="F17" s="3">
        <v>0.5</v>
      </c>
      <c r="G17" s="3">
        <v>0</v>
      </c>
      <c r="H17" s="3">
        <v>0</v>
      </c>
      <c r="I17" s="4">
        <v>0</v>
      </c>
      <c r="J17" s="3">
        <v>-1</v>
      </c>
      <c r="K17" s="4">
        <v>4</v>
      </c>
      <c r="L17" s="4">
        <v>-4</v>
      </c>
      <c r="M17" s="4">
        <v>571</v>
      </c>
      <c r="N17" s="4">
        <v>977</v>
      </c>
      <c r="O17" s="4">
        <f t="shared" si="0"/>
        <v>-406</v>
      </c>
      <c r="P17" s="3">
        <v>-0.41499999999999998</v>
      </c>
      <c r="Q17" s="4">
        <v>0</v>
      </c>
      <c r="R17" s="4">
        <v>98</v>
      </c>
      <c r="S17" s="3">
        <v>-1</v>
      </c>
      <c r="T17" s="8"/>
      <c r="U17" s="8"/>
      <c r="V17" s="4">
        <v>524</v>
      </c>
      <c r="W17" s="3">
        <v>-0.14599999999999999</v>
      </c>
      <c r="X17" s="3">
        <v>0</v>
      </c>
      <c r="Y17" s="3">
        <v>0</v>
      </c>
      <c r="Z17" s="3">
        <v>2.3E-2</v>
      </c>
      <c r="AA17" s="3">
        <v>2.3E-2</v>
      </c>
      <c r="AB17" s="3">
        <v>0</v>
      </c>
      <c r="AC17" s="3">
        <v>2.3E-2</v>
      </c>
      <c r="AD17" s="3">
        <v>2.3E-2</v>
      </c>
      <c r="AE17" s="3">
        <v>0</v>
      </c>
      <c r="AF17" s="8"/>
      <c r="AG17" s="3">
        <v>0</v>
      </c>
      <c r="AH17" s="8"/>
      <c r="AI17" s="3">
        <v>0.17299999999999999</v>
      </c>
      <c r="AJ17" s="3">
        <v>0.17299999999999999</v>
      </c>
      <c r="AK17" s="3">
        <v>0</v>
      </c>
      <c r="AL17" s="3">
        <v>0</v>
      </c>
      <c r="AM17" s="4">
        <v>0</v>
      </c>
    </row>
    <row r="18" spans="1:39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1.038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12</v>
      </c>
      <c r="L18" s="4">
        <v>0</v>
      </c>
      <c r="M18" s="4">
        <v>2214</v>
      </c>
      <c r="N18" s="4">
        <v>2133</v>
      </c>
      <c r="O18" s="4">
        <f t="shared" si="0"/>
        <v>81</v>
      </c>
      <c r="P18" s="3">
        <v>3.7999999999999999E-2</v>
      </c>
      <c r="Q18" s="4">
        <v>0</v>
      </c>
      <c r="R18" s="4">
        <v>0</v>
      </c>
      <c r="S18" s="8"/>
      <c r="T18" s="8"/>
      <c r="U18" s="8"/>
      <c r="V18" s="4">
        <v>1913</v>
      </c>
      <c r="W18" s="3">
        <v>2.1000000000000001E-2</v>
      </c>
      <c r="X18" s="3">
        <v>0.44800000000000001</v>
      </c>
      <c r="Y18" s="3">
        <v>0</v>
      </c>
      <c r="Z18" s="3">
        <v>-4.0000000000000001E-3</v>
      </c>
      <c r="AA18" s="3">
        <v>-4.0000000000000001E-3</v>
      </c>
      <c r="AB18" s="3">
        <v>0</v>
      </c>
      <c r="AC18" s="3">
        <v>-4.0000000000000001E-3</v>
      </c>
      <c r="AD18" s="3">
        <v>-4.0000000000000001E-3</v>
      </c>
      <c r="AE18" s="3">
        <v>0</v>
      </c>
      <c r="AF18" s="8"/>
      <c r="AG18" s="8"/>
      <c r="AH18" s="8"/>
      <c r="AI18" s="3">
        <v>0.24</v>
      </c>
      <c r="AJ18" s="3">
        <v>0.24</v>
      </c>
      <c r="AK18" s="3">
        <v>0</v>
      </c>
      <c r="AL18" s="3">
        <v>0</v>
      </c>
      <c r="AM18" s="4">
        <v>0</v>
      </c>
    </row>
    <row r="19" spans="1:39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0.90700000000000003</v>
      </c>
      <c r="F19" s="3">
        <v>2.5000000000000001E-2</v>
      </c>
      <c r="G19" s="3">
        <v>0.17100000000000001</v>
      </c>
      <c r="H19" s="3">
        <v>0.17100000000000001</v>
      </c>
      <c r="I19" s="4">
        <v>3</v>
      </c>
      <c r="J19" s="3">
        <v>0.5</v>
      </c>
      <c r="K19" s="4">
        <v>118</v>
      </c>
      <c r="L19" s="4">
        <v>0</v>
      </c>
      <c r="M19" s="4">
        <v>266</v>
      </c>
      <c r="N19" s="4">
        <v>247</v>
      </c>
      <c r="O19" s="4">
        <f t="shared" si="0"/>
        <v>19</v>
      </c>
      <c r="P19" s="3">
        <v>7.8E-2</v>
      </c>
      <c r="Q19" s="4">
        <v>42</v>
      </c>
      <c r="R19" s="4">
        <v>30</v>
      </c>
      <c r="S19" s="3">
        <v>0.41199999999999998</v>
      </c>
      <c r="T19" s="4">
        <v>14.07</v>
      </c>
      <c r="U19" s="3">
        <v>-5.8999999999999997E-2</v>
      </c>
      <c r="V19" s="4">
        <v>1303</v>
      </c>
      <c r="W19" s="3">
        <v>-0.02</v>
      </c>
      <c r="X19" s="3">
        <v>0</v>
      </c>
      <c r="Y19" s="3">
        <v>0</v>
      </c>
      <c r="Z19" s="3">
        <v>0.03</v>
      </c>
      <c r="AA19" s="3">
        <v>0.03</v>
      </c>
      <c r="AB19" s="3">
        <v>0</v>
      </c>
      <c r="AC19" s="3">
        <v>0.03</v>
      </c>
      <c r="AD19" s="3">
        <v>0.03</v>
      </c>
      <c r="AE19" s="3">
        <v>0</v>
      </c>
      <c r="AF19" s="3">
        <v>0</v>
      </c>
      <c r="AG19" s="3">
        <v>0</v>
      </c>
      <c r="AH19" s="3">
        <v>0</v>
      </c>
      <c r="AI19" s="3">
        <v>0.27</v>
      </c>
      <c r="AJ19" s="3">
        <v>0.27100000000000002</v>
      </c>
      <c r="AK19" s="3">
        <v>-1E-3</v>
      </c>
      <c r="AL19" s="3">
        <v>0</v>
      </c>
      <c r="AM19" s="4">
        <v>0</v>
      </c>
    </row>
    <row r="20" spans="1:39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0.91900000000000004</v>
      </c>
      <c r="F20" s="3">
        <v>7.6999999999999999E-2</v>
      </c>
      <c r="G20" s="3">
        <v>0.25600000000000001</v>
      </c>
      <c r="H20" s="3">
        <v>0.219</v>
      </c>
      <c r="I20" s="4">
        <v>7</v>
      </c>
      <c r="J20" s="3">
        <v>0.4</v>
      </c>
      <c r="K20" s="4">
        <v>43</v>
      </c>
      <c r="L20" s="4">
        <v>4</v>
      </c>
      <c r="M20" s="4">
        <v>3507</v>
      </c>
      <c r="N20" s="4">
        <v>2984</v>
      </c>
      <c r="O20" s="4">
        <f t="shared" si="0"/>
        <v>523</v>
      </c>
      <c r="P20" s="3">
        <v>0.17499999999999999</v>
      </c>
      <c r="Q20" s="4">
        <v>765</v>
      </c>
      <c r="R20" s="4">
        <v>275</v>
      </c>
      <c r="S20" s="3">
        <v>1.786</v>
      </c>
      <c r="T20" s="4">
        <v>109.29</v>
      </c>
      <c r="U20" s="3">
        <v>0.66500000000000004</v>
      </c>
      <c r="V20" s="4">
        <v>4628</v>
      </c>
      <c r="W20" s="3">
        <v>0.34799999999999998</v>
      </c>
      <c r="X20" s="3">
        <v>0</v>
      </c>
      <c r="Y20" s="3">
        <v>0</v>
      </c>
      <c r="Z20" s="3">
        <v>6.0999999999999999E-2</v>
      </c>
      <c r="AA20" s="3">
        <v>6.0999999999999999E-2</v>
      </c>
      <c r="AB20" s="3">
        <v>0</v>
      </c>
      <c r="AC20" s="3">
        <v>6.0999999999999999E-2</v>
      </c>
      <c r="AD20" s="3">
        <v>6.0999999999999999E-2</v>
      </c>
      <c r="AE20" s="3">
        <v>0</v>
      </c>
      <c r="AF20" s="3">
        <v>0</v>
      </c>
      <c r="AG20" s="3">
        <v>0</v>
      </c>
      <c r="AH20" s="3">
        <v>0</v>
      </c>
      <c r="AI20" s="3">
        <v>0.26</v>
      </c>
      <c r="AJ20" s="3">
        <v>0.25900000000000001</v>
      </c>
      <c r="AK20" s="3">
        <v>1E-3</v>
      </c>
      <c r="AL20" s="3">
        <v>0</v>
      </c>
      <c r="AM20" s="4">
        <v>0</v>
      </c>
    </row>
    <row r="21" spans="1:39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0.81</v>
      </c>
      <c r="F21" s="3">
        <v>0.1</v>
      </c>
      <c r="G21" s="3">
        <v>0</v>
      </c>
      <c r="H21" s="3">
        <v>0</v>
      </c>
      <c r="I21" s="4">
        <v>0</v>
      </c>
      <c r="J21" s="8"/>
      <c r="K21" s="4">
        <v>27</v>
      </c>
      <c r="L21" s="4">
        <v>-3</v>
      </c>
      <c r="M21" s="4">
        <v>1810</v>
      </c>
      <c r="N21" s="4">
        <v>2235</v>
      </c>
      <c r="O21" s="4">
        <f t="shared" si="0"/>
        <v>-425</v>
      </c>
      <c r="P21" s="3">
        <v>-0.19</v>
      </c>
      <c r="Q21" s="4">
        <v>0</v>
      </c>
      <c r="R21" s="4">
        <v>0</v>
      </c>
      <c r="S21" s="8"/>
      <c r="T21" s="8"/>
      <c r="U21" s="8"/>
      <c r="V21" s="4">
        <v>1806</v>
      </c>
      <c r="W21" s="3">
        <v>-0.11600000000000001</v>
      </c>
      <c r="X21" s="3">
        <v>0</v>
      </c>
      <c r="Y21" s="3">
        <v>0</v>
      </c>
      <c r="Z21" s="3">
        <v>3.3000000000000002E-2</v>
      </c>
      <c r="AA21" s="3">
        <v>3.3000000000000002E-2</v>
      </c>
      <c r="AB21" s="3">
        <v>0</v>
      </c>
      <c r="AC21" s="3">
        <v>3.3000000000000002E-2</v>
      </c>
      <c r="AD21" s="3">
        <v>3.3000000000000002E-2</v>
      </c>
      <c r="AE21" s="3">
        <v>0</v>
      </c>
      <c r="AF21" s="8"/>
      <c r="AG21" s="8"/>
      <c r="AH21" s="8"/>
      <c r="AI21" s="3">
        <v>0.28299999999999997</v>
      </c>
      <c r="AJ21" s="3">
        <v>0.28299999999999997</v>
      </c>
      <c r="AK21" s="3">
        <v>0</v>
      </c>
      <c r="AL21" s="3">
        <v>0</v>
      </c>
      <c r="AM21" s="4">
        <v>0</v>
      </c>
    </row>
    <row r="22" spans="1:39" x14ac:dyDescent="0.25">
      <c r="A22" s="12" t="s">
        <v>37</v>
      </c>
      <c r="B22" s="12" t="s">
        <v>48</v>
      </c>
      <c r="C22" s="5" t="s">
        <v>42</v>
      </c>
      <c r="D22" s="5"/>
      <c r="E22" s="6">
        <v>0.77500000000000002</v>
      </c>
      <c r="F22" s="6">
        <v>9.6000000000000002E-2</v>
      </c>
      <c r="G22" s="6">
        <v>0.14099999999999999</v>
      </c>
      <c r="H22" s="6">
        <v>9.7000000000000003E-2</v>
      </c>
      <c r="I22" s="7">
        <v>19</v>
      </c>
      <c r="J22" s="6">
        <v>0.35699999999999998</v>
      </c>
      <c r="K22" s="7">
        <v>207</v>
      </c>
      <c r="L22" s="7">
        <v>-1</v>
      </c>
      <c r="M22" s="7">
        <v>8939</v>
      </c>
      <c r="N22" s="7">
        <v>9758</v>
      </c>
      <c r="O22" s="4">
        <f t="shared" si="0"/>
        <v>-819</v>
      </c>
      <c r="P22" s="6">
        <v>-8.4000000000000005E-2</v>
      </c>
      <c r="Q22" s="7">
        <v>1378</v>
      </c>
      <c r="R22" s="7">
        <v>1585</v>
      </c>
      <c r="S22" s="6">
        <v>-0.13100000000000001</v>
      </c>
      <c r="T22" s="7">
        <v>133.21</v>
      </c>
      <c r="U22" s="6">
        <v>-0.32600000000000001</v>
      </c>
      <c r="V22" s="7">
        <v>10853</v>
      </c>
      <c r="W22" s="6">
        <v>3.3000000000000002E-2</v>
      </c>
      <c r="X22" s="6">
        <v>8.5000000000000006E-2</v>
      </c>
      <c r="Y22" s="6">
        <v>4.2999999999999997E-2</v>
      </c>
      <c r="Z22" s="6">
        <v>8.1000000000000003E-2</v>
      </c>
      <c r="AA22" s="6">
        <v>0.121</v>
      </c>
      <c r="AB22" s="6">
        <v>-0.04</v>
      </c>
      <c r="AC22" s="6">
        <v>8.1000000000000003E-2</v>
      </c>
      <c r="AD22" s="6">
        <v>0.121</v>
      </c>
      <c r="AE22" s="6">
        <v>-0.04</v>
      </c>
      <c r="AF22" s="6">
        <v>0.51400000000000001</v>
      </c>
      <c r="AG22" s="6">
        <v>0.66700000000000004</v>
      </c>
      <c r="AH22" s="6">
        <v>-0.154</v>
      </c>
      <c r="AI22" s="6">
        <v>0.29599999999999999</v>
      </c>
      <c r="AJ22" s="6">
        <v>0.33400000000000002</v>
      </c>
      <c r="AK22" s="6">
        <v>-3.9E-2</v>
      </c>
      <c r="AL22" s="6">
        <v>0</v>
      </c>
      <c r="AM22" s="7">
        <v>0</v>
      </c>
    </row>
    <row r="23" spans="1:39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0.97499999999999998</v>
      </c>
      <c r="F23" s="3">
        <v>0.1</v>
      </c>
      <c r="G23" s="3">
        <v>0.32100000000000001</v>
      </c>
      <c r="H23" s="3">
        <v>0.17599999999999999</v>
      </c>
      <c r="I23" s="4">
        <v>10</v>
      </c>
      <c r="J23" s="3">
        <v>1</v>
      </c>
      <c r="K23" s="4">
        <v>64</v>
      </c>
      <c r="L23" s="4">
        <v>4</v>
      </c>
      <c r="M23" s="4">
        <v>18091</v>
      </c>
      <c r="N23" s="4">
        <v>13955</v>
      </c>
      <c r="O23" s="4">
        <f t="shared" si="0"/>
        <v>4136</v>
      </c>
      <c r="P23" s="3">
        <v>0.29599999999999999</v>
      </c>
      <c r="Q23" s="4">
        <v>4484</v>
      </c>
      <c r="R23" s="4">
        <v>2803</v>
      </c>
      <c r="S23" s="3">
        <v>0.6</v>
      </c>
      <c r="T23" s="4">
        <v>448.37</v>
      </c>
      <c r="U23" s="3">
        <v>-0.2</v>
      </c>
      <c r="V23" s="4">
        <v>18873</v>
      </c>
      <c r="W23" s="3">
        <v>0.16300000000000001</v>
      </c>
      <c r="X23" s="3">
        <v>0</v>
      </c>
      <c r="Y23" s="3">
        <v>0.39400000000000002</v>
      </c>
      <c r="Z23" s="3">
        <v>0.42699999999999999</v>
      </c>
      <c r="AA23" s="3">
        <v>0.29599999999999999</v>
      </c>
      <c r="AB23" s="3">
        <v>0.13100000000000001</v>
      </c>
      <c r="AC23" s="3">
        <v>0.42699999999999999</v>
      </c>
      <c r="AD23" s="3">
        <v>0.29599999999999999</v>
      </c>
      <c r="AE23" s="3">
        <v>0.13100000000000001</v>
      </c>
      <c r="AF23" s="3">
        <v>0.34699999999999998</v>
      </c>
      <c r="AG23" s="3">
        <v>0</v>
      </c>
      <c r="AH23" s="3">
        <v>0.34699999999999998</v>
      </c>
      <c r="AI23" s="3">
        <v>0.53600000000000003</v>
      </c>
      <c r="AJ23" s="3">
        <v>0.42099999999999999</v>
      </c>
      <c r="AK23" s="3">
        <v>0.115</v>
      </c>
      <c r="AL23" s="3">
        <v>0</v>
      </c>
      <c r="AM23" s="4">
        <v>0</v>
      </c>
    </row>
    <row r="24" spans="1:39" x14ac:dyDescent="0.25">
      <c r="A24" s="12" t="s">
        <v>37</v>
      </c>
      <c r="B24" s="12" t="s">
        <v>59</v>
      </c>
      <c r="C24" s="5" t="s">
        <v>42</v>
      </c>
      <c r="D24" s="5"/>
      <c r="E24" s="6">
        <v>0.97499999999999998</v>
      </c>
      <c r="F24" s="6">
        <v>0.1</v>
      </c>
      <c r="G24" s="6">
        <v>0.32100000000000001</v>
      </c>
      <c r="H24" s="6">
        <v>0.17599999999999999</v>
      </c>
      <c r="I24" s="7">
        <v>10</v>
      </c>
      <c r="J24" s="6">
        <v>1</v>
      </c>
      <c r="K24" s="7">
        <v>64</v>
      </c>
      <c r="L24" s="7">
        <v>4</v>
      </c>
      <c r="M24" s="7">
        <v>18091</v>
      </c>
      <c r="N24" s="7">
        <v>13955</v>
      </c>
      <c r="O24" s="4">
        <f t="shared" si="0"/>
        <v>4136</v>
      </c>
      <c r="P24" s="6">
        <v>0.29599999999999999</v>
      </c>
      <c r="Q24" s="7">
        <v>4484</v>
      </c>
      <c r="R24" s="7">
        <v>2803</v>
      </c>
      <c r="S24" s="6">
        <v>0.6</v>
      </c>
      <c r="T24" s="7">
        <v>448.37</v>
      </c>
      <c r="U24" s="6">
        <v>-0.2</v>
      </c>
      <c r="V24" s="7">
        <v>18873</v>
      </c>
      <c r="W24" s="6">
        <v>0.16300000000000001</v>
      </c>
      <c r="X24" s="6">
        <v>0</v>
      </c>
      <c r="Y24" s="6">
        <v>0.39400000000000002</v>
      </c>
      <c r="Z24" s="6">
        <v>0.42699999999999999</v>
      </c>
      <c r="AA24" s="6">
        <v>0.29599999999999999</v>
      </c>
      <c r="AB24" s="6">
        <v>0.13100000000000001</v>
      </c>
      <c r="AC24" s="6">
        <v>0.42699999999999999</v>
      </c>
      <c r="AD24" s="6">
        <v>0.29599999999999999</v>
      </c>
      <c r="AE24" s="6">
        <v>0.13100000000000001</v>
      </c>
      <c r="AF24" s="6">
        <v>0.34699999999999998</v>
      </c>
      <c r="AG24" s="6">
        <v>0</v>
      </c>
      <c r="AH24" s="6">
        <v>0.34699999999999998</v>
      </c>
      <c r="AI24" s="6">
        <v>0.53600000000000003</v>
      </c>
      <c r="AJ24" s="6">
        <v>0.42099999999999999</v>
      </c>
      <c r="AK24" s="6">
        <v>0.115</v>
      </c>
      <c r="AL24" s="6">
        <v>0</v>
      </c>
      <c r="AM24" s="7">
        <v>0</v>
      </c>
    </row>
    <row r="25" spans="1:39" x14ac:dyDescent="0.25">
      <c r="A25" s="12" t="s">
        <v>37</v>
      </c>
      <c r="B25" s="5" t="s">
        <v>42</v>
      </c>
      <c r="C25" s="5"/>
      <c r="D25" s="5"/>
      <c r="E25" s="6">
        <v>0.92100000000000004</v>
      </c>
      <c r="F25" s="6">
        <v>7.2999999999999995E-2</v>
      </c>
      <c r="G25" s="6">
        <v>0.12</v>
      </c>
      <c r="H25" s="6">
        <v>8.4000000000000005E-2</v>
      </c>
      <c r="I25" s="7">
        <v>382</v>
      </c>
      <c r="J25" s="6">
        <v>0.38400000000000001</v>
      </c>
      <c r="K25" s="7">
        <v>3912</v>
      </c>
      <c r="L25" s="7">
        <v>104</v>
      </c>
      <c r="M25" s="7">
        <v>777757</v>
      </c>
      <c r="N25" s="7">
        <v>747175</v>
      </c>
      <c r="O25" s="4">
        <f t="shared" si="0"/>
        <v>30582</v>
      </c>
      <c r="P25" s="6">
        <v>4.1000000000000002E-2</v>
      </c>
      <c r="Q25" s="7">
        <v>89713</v>
      </c>
      <c r="R25" s="7">
        <v>82340</v>
      </c>
      <c r="S25" s="6">
        <v>0.09</v>
      </c>
      <c r="T25" s="7">
        <v>243.86</v>
      </c>
      <c r="U25" s="6">
        <v>-0.22900000000000001</v>
      </c>
      <c r="V25" s="7">
        <v>694833</v>
      </c>
      <c r="W25" s="6">
        <v>2.5999999999999999E-2</v>
      </c>
      <c r="X25" s="6">
        <v>1.4E-2</v>
      </c>
      <c r="Y25" s="6">
        <v>0.70599999999999996</v>
      </c>
      <c r="Z25" s="6">
        <v>0.72599999999999998</v>
      </c>
      <c r="AA25" s="6">
        <v>0.59599999999999997</v>
      </c>
      <c r="AB25" s="6">
        <v>0.129</v>
      </c>
      <c r="AC25" s="6">
        <v>0.72599999999999998</v>
      </c>
      <c r="AD25" s="6">
        <v>0.59599999999999997</v>
      </c>
      <c r="AE25" s="6">
        <v>0.129</v>
      </c>
      <c r="AF25" s="6">
        <v>0.73499999999999999</v>
      </c>
      <c r="AG25" s="6">
        <v>0.54500000000000004</v>
      </c>
      <c r="AH25" s="6">
        <v>0.19</v>
      </c>
      <c r="AI25" s="6">
        <v>0.83699999999999997</v>
      </c>
      <c r="AJ25" s="6">
        <v>0.70799999999999996</v>
      </c>
      <c r="AK25" s="6">
        <v>0.129</v>
      </c>
      <c r="AL25" s="6">
        <v>0</v>
      </c>
      <c r="AM25" s="7">
        <v>0</v>
      </c>
    </row>
    <row r="26" spans="1:39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1.3819999999999999</v>
      </c>
      <c r="F26" s="3">
        <v>0.10199999999999999</v>
      </c>
      <c r="G26" s="3">
        <v>0.316</v>
      </c>
      <c r="H26" s="3">
        <v>0.14399999999999999</v>
      </c>
      <c r="I26" s="4">
        <v>14</v>
      </c>
      <c r="J26" s="3">
        <v>1.333</v>
      </c>
      <c r="K26" s="4">
        <v>93</v>
      </c>
      <c r="L26" s="4">
        <v>5</v>
      </c>
      <c r="M26" s="4">
        <v>8876</v>
      </c>
      <c r="N26" s="4">
        <v>5228</v>
      </c>
      <c r="O26" s="4">
        <f t="shared" si="0"/>
        <v>3648</v>
      </c>
      <c r="P26" s="3">
        <v>0.69799999999999995</v>
      </c>
      <c r="Q26" s="4">
        <v>1650</v>
      </c>
      <c r="R26" s="4">
        <v>764</v>
      </c>
      <c r="S26" s="3">
        <v>1.1599999999999999</v>
      </c>
      <c r="T26" s="4">
        <v>136.69</v>
      </c>
      <c r="U26" s="3">
        <v>-7.1999999999999995E-2</v>
      </c>
      <c r="V26" s="4">
        <v>7882</v>
      </c>
      <c r="W26" s="3">
        <v>0.312</v>
      </c>
      <c r="X26" s="3">
        <v>1.4999999999999999E-2</v>
      </c>
      <c r="Y26" s="3">
        <v>0</v>
      </c>
      <c r="Z26" s="3">
        <v>0.18099999999999999</v>
      </c>
      <c r="AA26" s="3">
        <v>0.18099999999999999</v>
      </c>
      <c r="AB26" s="3">
        <v>0</v>
      </c>
      <c r="AC26" s="3">
        <v>0.17399999999999999</v>
      </c>
      <c r="AD26" s="3">
        <v>0.17399999999999999</v>
      </c>
      <c r="AE26" s="3">
        <v>0</v>
      </c>
      <c r="AF26" s="3">
        <v>0</v>
      </c>
      <c r="AG26" s="3">
        <v>0</v>
      </c>
      <c r="AH26" s="3">
        <v>0</v>
      </c>
      <c r="AI26" s="3">
        <v>0.35899999999999999</v>
      </c>
      <c r="AJ26" s="3">
        <v>0.36699999999999999</v>
      </c>
      <c r="AK26" s="3">
        <v>-8.0000000000000002E-3</v>
      </c>
      <c r="AL26" s="3">
        <v>0</v>
      </c>
      <c r="AM26" s="4">
        <v>0</v>
      </c>
    </row>
    <row r="27" spans="1:39" x14ac:dyDescent="0.25">
      <c r="A27" s="12" t="s">
        <v>61</v>
      </c>
      <c r="B27" s="12" t="s">
        <v>39</v>
      </c>
      <c r="C27" s="5" t="s">
        <v>42</v>
      </c>
      <c r="D27" s="5"/>
      <c r="E27" s="6">
        <v>1.3819999999999999</v>
      </c>
      <c r="F27" s="6">
        <v>0.10199999999999999</v>
      </c>
      <c r="G27" s="6">
        <v>0.316</v>
      </c>
      <c r="H27" s="6">
        <v>0.14399999999999999</v>
      </c>
      <c r="I27" s="7">
        <v>14</v>
      </c>
      <c r="J27" s="6">
        <v>1.333</v>
      </c>
      <c r="K27" s="7">
        <v>93</v>
      </c>
      <c r="L27" s="7">
        <v>5</v>
      </c>
      <c r="M27" s="7">
        <v>8876</v>
      </c>
      <c r="N27" s="7">
        <v>5228</v>
      </c>
      <c r="O27" s="4">
        <f t="shared" si="0"/>
        <v>3648</v>
      </c>
      <c r="P27" s="6">
        <v>0.69799999999999995</v>
      </c>
      <c r="Q27" s="7">
        <v>1650</v>
      </c>
      <c r="R27" s="7">
        <v>764</v>
      </c>
      <c r="S27" s="6">
        <v>1.1599999999999999</v>
      </c>
      <c r="T27" s="7">
        <v>136.69</v>
      </c>
      <c r="U27" s="6">
        <v>-7.1999999999999995E-2</v>
      </c>
      <c r="V27" s="7">
        <v>7882</v>
      </c>
      <c r="W27" s="6">
        <v>0.312</v>
      </c>
      <c r="X27" s="6">
        <v>1.4999999999999999E-2</v>
      </c>
      <c r="Y27" s="6">
        <v>0</v>
      </c>
      <c r="Z27" s="6">
        <v>0.18099999999999999</v>
      </c>
      <c r="AA27" s="6">
        <v>0.18099999999999999</v>
      </c>
      <c r="AB27" s="6">
        <v>0</v>
      </c>
      <c r="AC27" s="6">
        <v>0.17399999999999999</v>
      </c>
      <c r="AD27" s="6">
        <v>0.17399999999999999</v>
      </c>
      <c r="AE27" s="6">
        <v>0</v>
      </c>
      <c r="AF27" s="6">
        <v>0</v>
      </c>
      <c r="AG27" s="6">
        <v>0</v>
      </c>
      <c r="AH27" s="6">
        <v>0</v>
      </c>
      <c r="AI27" s="6">
        <v>0.35899999999999999</v>
      </c>
      <c r="AJ27" s="6">
        <v>0.36699999999999999</v>
      </c>
      <c r="AK27" s="6">
        <v>-8.0000000000000002E-3</v>
      </c>
      <c r="AL27" s="6">
        <v>0</v>
      </c>
      <c r="AM27" s="7">
        <v>0</v>
      </c>
    </row>
    <row r="28" spans="1:39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-0.27700000000000002</v>
      </c>
      <c r="F28" s="3">
        <v>0.27400000000000002</v>
      </c>
      <c r="G28" s="3">
        <v>0.86799999999999999</v>
      </c>
      <c r="H28" s="3">
        <v>0.86799999999999999</v>
      </c>
      <c r="I28" s="4">
        <v>19</v>
      </c>
      <c r="J28" s="3">
        <v>-0.26900000000000002</v>
      </c>
      <c r="K28" s="4">
        <v>64</v>
      </c>
      <c r="L28" s="4">
        <v>2</v>
      </c>
      <c r="M28" s="4">
        <v>6580</v>
      </c>
      <c r="N28" s="4">
        <v>11118</v>
      </c>
      <c r="O28" s="4">
        <f t="shared" si="0"/>
        <v>-4538</v>
      </c>
      <c r="P28" s="3">
        <v>-0.40799999999999997</v>
      </c>
      <c r="Q28" s="4">
        <v>9655</v>
      </c>
      <c r="R28" s="4">
        <v>9088</v>
      </c>
      <c r="S28" s="3">
        <v>6.2E-2</v>
      </c>
      <c r="T28" s="4">
        <v>502.55</v>
      </c>
      <c r="U28" s="3">
        <v>0.44400000000000001</v>
      </c>
      <c r="V28" s="4">
        <v>17346</v>
      </c>
      <c r="W28" s="3">
        <v>-0.215</v>
      </c>
      <c r="X28" s="3">
        <v>0.01</v>
      </c>
      <c r="Y28" s="3">
        <v>0.67300000000000004</v>
      </c>
      <c r="Z28" s="3">
        <v>0.70599999999999996</v>
      </c>
      <c r="AA28" s="3">
        <v>0.499</v>
      </c>
      <c r="AB28" s="3">
        <v>0.20699999999999999</v>
      </c>
      <c r="AC28" s="3">
        <v>0.70599999999999996</v>
      </c>
      <c r="AD28" s="3">
        <v>0.499</v>
      </c>
      <c r="AE28" s="3">
        <v>0.20699999999999999</v>
      </c>
      <c r="AF28" s="3">
        <v>0</v>
      </c>
      <c r="AG28" s="3">
        <v>0</v>
      </c>
      <c r="AH28" s="3">
        <v>0</v>
      </c>
      <c r="AI28" s="3">
        <v>0.77600000000000002</v>
      </c>
      <c r="AJ28" s="3">
        <v>0.56899999999999995</v>
      </c>
      <c r="AK28" s="3">
        <v>0.20699999999999999</v>
      </c>
      <c r="AL28" s="3">
        <v>0</v>
      </c>
      <c r="AM28" s="4">
        <v>0</v>
      </c>
    </row>
    <row r="29" spans="1:39" x14ac:dyDescent="0.25">
      <c r="A29" s="12" t="s">
        <v>61</v>
      </c>
      <c r="B29" s="12" t="s">
        <v>43</v>
      </c>
      <c r="C29" s="5" t="s">
        <v>42</v>
      </c>
      <c r="D29" s="5"/>
      <c r="E29" s="6">
        <v>-0.27700000000000002</v>
      </c>
      <c r="F29" s="6">
        <v>0.27400000000000002</v>
      </c>
      <c r="G29" s="6">
        <v>0.86799999999999999</v>
      </c>
      <c r="H29" s="6">
        <v>0.86799999999999999</v>
      </c>
      <c r="I29" s="7">
        <v>19</v>
      </c>
      <c r="J29" s="6">
        <v>-0.26900000000000002</v>
      </c>
      <c r="K29" s="7">
        <v>64</v>
      </c>
      <c r="L29" s="7">
        <v>2</v>
      </c>
      <c r="M29" s="7">
        <v>6580</v>
      </c>
      <c r="N29" s="7">
        <v>11118</v>
      </c>
      <c r="O29" s="4">
        <f t="shared" si="0"/>
        <v>-4538</v>
      </c>
      <c r="P29" s="6">
        <v>-0.40799999999999997</v>
      </c>
      <c r="Q29" s="7">
        <v>9655</v>
      </c>
      <c r="R29" s="7">
        <v>9088</v>
      </c>
      <c r="S29" s="6">
        <v>6.2E-2</v>
      </c>
      <c r="T29" s="7">
        <v>502.55</v>
      </c>
      <c r="U29" s="6">
        <v>0.44400000000000001</v>
      </c>
      <c r="V29" s="7">
        <v>17346</v>
      </c>
      <c r="W29" s="6">
        <v>-0.215</v>
      </c>
      <c r="X29" s="6">
        <v>0.01</v>
      </c>
      <c r="Y29" s="6">
        <v>0.67300000000000004</v>
      </c>
      <c r="Z29" s="6">
        <v>0.70599999999999996</v>
      </c>
      <c r="AA29" s="6">
        <v>0.499</v>
      </c>
      <c r="AB29" s="6">
        <v>0.20699999999999999</v>
      </c>
      <c r="AC29" s="6">
        <v>0.70599999999999996</v>
      </c>
      <c r="AD29" s="6">
        <v>0.499</v>
      </c>
      <c r="AE29" s="6">
        <v>0.20699999999999999</v>
      </c>
      <c r="AF29" s="6">
        <v>0</v>
      </c>
      <c r="AG29" s="6">
        <v>0</v>
      </c>
      <c r="AH29" s="6">
        <v>0</v>
      </c>
      <c r="AI29" s="6">
        <v>0.77600000000000002</v>
      </c>
      <c r="AJ29" s="6">
        <v>0.56899999999999995</v>
      </c>
      <c r="AK29" s="6">
        <v>0.20699999999999999</v>
      </c>
      <c r="AL29" s="6">
        <v>0</v>
      </c>
      <c r="AM29" s="7">
        <v>0</v>
      </c>
    </row>
    <row r="30" spans="1:39" x14ac:dyDescent="0.25">
      <c r="A30" s="12" t="s">
        <v>61</v>
      </c>
      <c r="B30" s="12" t="s">
        <v>64</v>
      </c>
      <c r="C30" s="2" t="s">
        <v>53</v>
      </c>
      <c r="D30" s="2" t="s">
        <v>104</v>
      </c>
      <c r="E30" s="3">
        <v>0</v>
      </c>
      <c r="F30" s="3">
        <v>1</v>
      </c>
      <c r="G30" s="3">
        <v>0</v>
      </c>
      <c r="H30" s="3">
        <v>0</v>
      </c>
      <c r="I30" s="4">
        <v>0</v>
      </c>
      <c r="J30" s="8"/>
      <c r="K30" s="4">
        <v>0</v>
      </c>
      <c r="L30" s="4">
        <v>-1</v>
      </c>
      <c r="M30" s="4">
        <v>0</v>
      </c>
      <c r="N30" s="4">
        <v>333</v>
      </c>
      <c r="O30" s="4">
        <f t="shared" si="0"/>
        <v>-333</v>
      </c>
      <c r="P30" s="3">
        <v>-1</v>
      </c>
      <c r="Q30" s="4">
        <v>0</v>
      </c>
      <c r="R30" s="4">
        <v>0</v>
      </c>
      <c r="S30" s="8"/>
      <c r="T30" s="8"/>
      <c r="U30" s="8"/>
      <c r="V30" s="4">
        <v>178</v>
      </c>
      <c r="W30" s="3">
        <v>-3.7999999999999999E-2</v>
      </c>
      <c r="X30" s="8"/>
      <c r="Y30" s="3">
        <v>0</v>
      </c>
      <c r="Z30" s="3">
        <v>5.8999999999999997E-2</v>
      </c>
      <c r="AA30" s="3">
        <v>5.8999999999999997E-2</v>
      </c>
      <c r="AB30" s="3">
        <v>0</v>
      </c>
      <c r="AC30" s="3">
        <v>5.8999999999999997E-2</v>
      </c>
      <c r="AD30" s="3">
        <v>5.8999999999999997E-2</v>
      </c>
      <c r="AE30" s="3">
        <v>0</v>
      </c>
      <c r="AF30" s="8"/>
      <c r="AG30" s="8"/>
      <c r="AH30" s="8"/>
      <c r="AI30" s="3">
        <v>0.26900000000000002</v>
      </c>
      <c r="AJ30" s="3">
        <v>0.26900000000000002</v>
      </c>
      <c r="AK30" s="3">
        <v>0</v>
      </c>
      <c r="AL30" s="3">
        <v>0</v>
      </c>
      <c r="AM30" s="4">
        <v>0</v>
      </c>
    </row>
    <row r="31" spans="1:39" x14ac:dyDescent="0.25">
      <c r="A31" s="12" t="s">
        <v>61</v>
      </c>
      <c r="B31" s="12" t="s">
        <v>64</v>
      </c>
      <c r="C31" s="2" t="s">
        <v>65</v>
      </c>
      <c r="D31" s="2" t="s">
        <v>65</v>
      </c>
      <c r="E31" s="3">
        <v>1.0129999999999999</v>
      </c>
      <c r="F31" s="3">
        <v>0.154</v>
      </c>
      <c r="G31" s="3">
        <v>8.5000000000000006E-2</v>
      </c>
      <c r="H31" s="3">
        <v>6.9000000000000006E-2</v>
      </c>
      <c r="I31" s="4">
        <v>5</v>
      </c>
      <c r="J31" s="3">
        <v>0</v>
      </c>
      <c r="K31" s="4">
        <v>49</v>
      </c>
      <c r="L31" s="4">
        <v>-3</v>
      </c>
      <c r="M31" s="4">
        <v>32843</v>
      </c>
      <c r="N31" s="4">
        <v>29913</v>
      </c>
      <c r="O31" s="4">
        <f t="shared" si="0"/>
        <v>2930</v>
      </c>
      <c r="P31" s="3">
        <v>9.8000000000000004E-2</v>
      </c>
      <c r="Q31" s="4">
        <v>2542</v>
      </c>
      <c r="R31" s="4">
        <v>4756</v>
      </c>
      <c r="S31" s="3">
        <v>-0.46600000000000003</v>
      </c>
      <c r="T31" s="4">
        <v>508.39</v>
      </c>
      <c r="U31" s="3">
        <v>-0.46600000000000003</v>
      </c>
      <c r="V31" s="4">
        <v>31942</v>
      </c>
      <c r="W31" s="3">
        <v>-6.2E-2</v>
      </c>
      <c r="X31" s="3">
        <v>1.6E-2</v>
      </c>
      <c r="Y31" s="3">
        <v>1.1040000000000001</v>
      </c>
      <c r="Z31" s="3">
        <v>1.1319999999999999</v>
      </c>
      <c r="AA31" s="3">
        <v>1.4019999999999999</v>
      </c>
      <c r="AB31" s="3">
        <v>-0.27</v>
      </c>
      <c r="AC31" s="3">
        <v>1.1319999999999999</v>
      </c>
      <c r="AD31" s="3">
        <v>1.401</v>
      </c>
      <c r="AE31" s="3">
        <v>-0.26800000000000002</v>
      </c>
      <c r="AF31" s="3">
        <v>0</v>
      </c>
      <c r="AG31" s="3">
        <v>14.911</v>
      </c>
      <c r="AH31" s="3">
        <v>-14.911</v>
      </c>
      <c r="AI31" s="3">
        <v>1.333</v>
      </c>
      <c r="AJ31" s="3">
        <v>1.6020000000000001</v>
      </c>
      <c r="AK31" s="3">
        <v>-0.27</v>
      </c>
      <c r="AL31" s="3">
        <v>0</v>
      </c>
      <c r="AM31" s="4">
        <v>0</v>
      </c>
    </row>
    <row r="32" spans="1:39" x14ac:dyDescent="0.25">
      <c r="A32" s="12" t="s">
        <v>61</v>
      </c>
      <c r="B32" s="12" t="s">
        <v>64</v>
      </c>
      <c r="C32" s="5" t="s">
        <v>42</v>
      </c>
      <c r="D32" s="5"/>
      <c r="E32" s="6">
        <v>1.002</v>
      </c>
      <c r="F32" s="6">
        <v>0.17</v>
      </c>
      <c r="G32" s="6">
        <v>8.4000000000000005E-2</v>
      </c>
      <c r="H32" s="6">
        <v>6.8000000000000005E-2</v>
      </c>
      <c r="I32" s="7">
        <v>5</v>
      </c>
      <c r="J32" s="6">
        <v>0</v>
      </c>
      <c r="K32" s="7">
        <v>49</v>
      </c>
      <c r="L32" s="7">
        <v>-4</v>
      </c>
      <c r="M32" s="7">
        <v>32843</v>
      </c>
      <c r="N32" s="7">
        <v>30246</v>
      </c>
      <c r="O32" s="4">
        <f t="shared" si="0"/>
        <v>2597</v>
      </c>
      <c r="P32" s="6">
        <v>8.5999999999999993E-2</v>
      </c>
      <c r="Q32" s="7">
        <v>2542</v>
      </c>
      <c r="R32" s="7">
        <v>4756</v>
      </c>
      <c r="S32" s="6">
        <v>-0.46600000000000003</v>
      </c>
      <c r="T32" s="7">
        <v>508.39</v>
      </c>
      <c r="U32" s="6">
        <v>-0.46600000000000003</v>
      </c>
      <c r="V32" s="7">
        <v>32120</v>
      </c>
      <c r="W32" s="6">
        <v>-6.2E-2</v>
      </c>
      <c r="X32" s="6">
        <v>1.6E-2</v>
      </c>
      <c r="Y32" s="6">
        <v>1.0980000000000001</v>
      </c>
      <c r="Z32" s="6">
        <v>1.1259999999999999</v>
      </c>
      <c r="AA32" s="6">
        <v>1.395</v>
      </c>
      <c r="AB32" s="6">
        <v>-0.26800000000000002</v>
      </c>
      <c r="AC32" s="6">
        <v>1.1259999999999999</v>
      </c>
      <c r="AD32" s="6">
        <v>1.393</v>
      </c>
      <c r="AE32" s="6">
        <v>-0.26700000000000002</v>
      </c>
      <c r="AF32" s="6">
        <v>0</v>
      </c>
      <c r="AG32" s="6">
        <v>14.911</v>
      </c>
      <c r="AH32" s="6">
        <v>-14.911</v>
      </c>
      <c r="AI32" s="6">
        <v>1.327</v>
      </c>
      <c r="AJ32" s="6">
        <v>1.595</v>
      </c>
      <c r="AK32" s="6">
        <v>-0.26800000000000002</v>
      </c>
      <c r="AL32" s="6">
        <v>0</v>
      </c>
      <c r="AM32" s="7">
        <v>0</v>
      </c>
    </row>
    <row r="33" spans="1:39" x14ac:dyDescent="0.25">
      <c r="A33" s="12" t="s">
        <v>61</v>
      </c>
      <c r="B33" s="12" t="s">
        <v>66</v>
      </c>
      <c r="C33" s="2" t="s">
        <v>55</v>
      </c>
      <c r="D33" s="2" t="s">
        <v>67</v>
      </c>
      <c r="E33" s="3">
        <v>0.93700000000000006</v>
      </c>
      <c r="F33" s="3">
        <v>0.06</v>
      </c>
      <c r="G33" s="3">
        <v>8.3000000000000004E-2</v>
      </c>
      <c r="H33" s="3">
        <v>7.2999999999999995E-2</v>
      </c>
      <c r="I33" s="4">
        <v>5</v>
      </c>
      <c r="J33" s="3">
        <v>0</v>
      </c>
      <c r="K33" s="4">
        <v>52</v>
      </c>
      <c r="L33" s="4">
        <v>2</v>
      </c>
      <c r="M33" s="4">
        <v>43841</v>
      </c>
      <c r="N33" s="4">
        <v>42949</v>
      </c>
      <c r="O33" s="4">
        <f t="shared" si="0"/>
        <v>892</v>
      </c>
      <c r="P33" s="3">
        <v>2.1000000000000001E-2</v>
      </c>
      <c r="Q33" s="4">
        <v>3583</v>
      </c>
      <c r="R33" s="4">
        <v>2124</v>
      </c>
      <c r="S33" s="3">
        <v>0.68700000000000006</v>
      </c>
      <c r="T33" s="4">
        <v>716.64</v>
      </c>
      <c r="U33" s="3">
        <v>0.35899999999999999</v>
      </c>
      <c r="V33" s="4">
        <v>34101</v>
      </c>
      <c r="W33" s="3">
        <v>-1.4999999999999999E-2</v>
      </c>
      <c r="X33" s="3">
        <v>5.0000000000000001E-3</v>
      </c>
      <c r="Y33" s="3">
        <v>4.3999999999999997E-2</v>
      </c>
      <c r="Z33" s="3">
        <v>0.26900000000000002</v>
      </c>
      <c r="AA33" s="3">
        <v>0.246</v>
      </c>
      <c r="AB33" s="3">
        <v>2.3E-2</v>
      </c>
      <c r="AC33" s="3">
        <v>0.26900000000000002</v>
      </c>
      <c r="AD33" s="3">
        <v>0.246</v>
      </c>
      <c r="AE33" s="3">
        <v>2.3E-2</v>
      </c>
      <c r="AF33" s="3">
        <v>0</v>
      </c>
      <c r="AG33" s="3">
        <v>0</v>
      </c>
      <c r="AH33" s="3">
        <v>0</v>
      </c>
      <c r="AI33" s="3">
        <v>0.47</v>
      </c>
      <c r="AJ33" s="3">
        <v>0.442</v>
      </c>
      <c r="AK33" s="3">
        <v>2.7E-2</v>
      </c>
      <c r="AL33" s="3">
        <v>0</v>
      </c>
      <c r="AM33" s="4">
        <v>0</v>
      </c>
    </row>
    <row r="34" spans="1:39" x14ac:dyDescent="0.25">
      <c r="A34" s="12" t="s">
        <v>61</v>
      </c>
      <c r="B34" s="12" t="s">
        <v>66</v>
      </c>
      <c r="C34" s="5" t="s">
        <v>42</v>
      </c>
      <c r="D34" s="5"/>
      <c r="E34" s="6">
        <v>0.93700000000000006</v>
      </c>
      <c r="F34" s="6">
        <v>0.06</v>
      </c>
      <c r="G34" s="6">
        <v>8.3000000000000004E-2</v>
      </c>
      <c r="H34" s="6">
        <v>7.2999999999999995E-2</v>
      </c>
      <c r="I34" s="7">
        <v>5</v>
      </c>
      <c r="J34" s="6">
        <v>0</v>
      </c>
      <c r="K34" s="7">
        <v>52</v>
      </c>
      <c r="L34" s="7">
        <v>2</v>
      </c>
      <c r="M34" s="7">
        <v>43841</v>
      </c>
      <c r="N34" s="7">
        <v>42949</v>
      </c>
      <c r="O34" s="4">
        <f t="shared" si="0"/>
        <v>892</v>
      </c>
      <c r="P34" s="6">
        <v>2.1000000000000001E-2</v>
      </c>
      <c r="Q34" s="7">
        <v>3583</v>
      </c>
      <c r="R34" s="7">
        <v>2124</v>
      </c>
      <c r="S34" s="6">
        <v>0.68700000000000006</v>
      </c>
      <c r="T34" s="7">
        <v>716.64</v>
      </c>
      <c r="U34" s="6">
        <v>0.35899999999999999</v>
      </c>
      <c r="V34" s="7">
        <v>34101</v>
      </c>
      <c r="W34" s="6">
        <v>-1.4999999999999999E-2</v>
      </c>
      <c r="X34" s="6">
        <v>5.0000000000000001E-3</v>
      </c>
      <c r="Y34" s="6">
        <v>4.3999999999999997E-2</v>
      </c>
      <c r="Z34" s="6">
        <v>0.26900000000000002</v>
      </c>
      <c r="AA34" s="6">
        <v>0.246</v>
      </c>
      <c r="AB34" s="6">
        <v>2.3E-2</v>
      </c>
      <c r="AC34" s="6">
        <v>0.26900000000000002</v>
      </c>
      <c r="AD34" s="6">
        <v>0.246</v>
      </c>
      <c r="AE34" s="6">
        <v>2.3E-2</v>
      </c>
      <c r="AF34" s="6">
        <v>0</v>
      </c>
      <c r="AG34" s="6">
        <v>0</v>
      </c>
      <c r="AH34" s="6">
        <v>0</v>
      </c>
      <c r="AI34" s="6">
        <v>0.47</v>
      </c>
      <c r="AJ34" s="6">
        <v>0.442</v>
      </c>
      <c r="AK34" s="6">
        <v>2.7E-2</v>
      </c>
      <c r="AL34" s="6">
        <v>0</v>
      </c>
      <c r="AM34" s="7">
        <v>0</v>
      </c>
    </row>
    <row r="35" spans="1:39" x14ac:dyDescent="0.25">
      <c r="A35" s="12" t="s">
        <v>61</v>
      </c>
      <c r="B35" s="12" t="s">
        <v>68</v>
      </c>
      <c r="C35" s="2" t="s">
        <v>69</v>
      </c>
      <c r="D35" s="2" t="s">
        <v>70</v>
      </c>
      <c r="E35" s="3">
        <v>0.95699999999999996</v>
      </c>
      <c r="F35" s="3">
        <v>0</v>
      </c>
      <c r="G35" s="3">
        <v>0</v>
      </c>
      <c r="H35" s="3">
        <v>0</v>
      </c>
      <c r="I35" s="4">
        <v>0</v>
      </c>
      <c r="J35" s="3">
        <v>-1</v>
      </c>
      <c r="K35" s="4">
        <v>14</v>
      </c>
      <c r="L35" s="4">
        <v>0</v>
      </c>
      <c r="M35" s="4">
        <v>5852</v>
      </c>
      <c r="N35" s="4">
        <v>6114</v>
      </c>
      <c r="O35" s="4">
        <f t="shared" si="0"/>
        <v>-262</v>
      </c>
      <c r="P35" s="3">
        <v>-4.2999999999999997E-2</v>
      </c>
      <c r="Q35" s="4">
        <v>0</v>
      </c>
      <c r="R35" s="4">
        <v>350</v>
      </c>
      <c r="S35" s="3">
        <v>-1</v>
      </c>
      <c r="T35" s="8"/>
      <c r="U35" s="8"/>
      <c r="V35" s="4">
        <v>3850</v>
      </c>
      <c r="W35" s="3">
        <v>-2E-3</v>
      </c>
      <c r="X35" s="3">
        <v>0</v>
      </c>
      <c r="Y35" s="3">
        <v>0</v>
      </c>
      <c r="Z35" s="3">
        <v>3.9E-2</v>
      </c>
      <c r="AA35" s="3">
        <v>3.7999999999999999E-2</v>
      </c>
      <c r="AB35" s="3">
        <v>0</v>
      </c>
      <c r="AC35" s="3">
        <v>3.9E-2</v>
      </c>
      <c r="AD35" s="3">
        <v>3.7999999999999999E-2</v>
      </c>
      <c r="AE35" s="3">
        <v>0</v>
      </c>
      <c r="AF35" s="8"/>
      <c r="AG35" s="3">
        <v>0</v>
      </c>
      <c r="AH35" s="8"/>
      <c r="AI35" s="3">
        <v>0.189</v>
      </c>
      <c r="AJ35" s="3">
        <v>0.188</v>
      </c>
      <c r="AK35" s="3">
        <v>1E-3</v>
      </c>
      <c r="AL35" s="3">
        <v>0</v>
      </c>
      <c r="AM35" s="4">
        <v>0</v>
      </c>
    </row>
    <row r="36" spans="1:39" x14ac:dyDescent="0.25">
      <c r="A36" s="12" t="s">
        <v>61</v>
      </c>
      <c r="B36" s="12" t="s">
        <v>68</v>
      </c>
      <c r="C36" s="5" t="s">
        <v>42</v>
      </c>
      <c r="D36" s="5"/>
      <c r="E36" s="6">
        <v>0.95699999999999996</v>
      </c>
      <c r="F36" s="6">
        <v>0</v>
      </c>
      <c r="G36" s="6">
        <v>0</v>
      </c>
      <c r="H36" s="6">
        <v>0</v>
      </c>
      <c r="I36" s="7">
        <v>0</v>
      </c>
      <c r="J36" s="6">
        <v>-1</v>
      </c>
      <c r="K36" s="7">
        <v>14</v>
      </c>
      <c r="L36" s="7">
        <v>0</v>
      </c>
      <c r="M36" s="7">
        <v>5852</v>
      </c>
      <c r="N36" s="7">
        <v>6114</v>
      </c>
      <c r="O36" s="4">
        <f t="shared" si="0"/>
        <v>-262</v>
      </c>
      <c r="P36" s="6">
        <v>-4.2999999999999997E-2</v>
      </c>
      <c r="Q36" s="7">
        <v>0</v>
      </c>
      <c r="R36" s="7">
        <v>350</v>
      </c>
      <c r="S36" s="6">
        <v>-1</v>
      </c>
      <c r="T36" s="5"/>
      <c r="U36" s="5"/>
      <c r="V36" s="7">
        <v>3850</v>
      </c>
      <c r="W36" s="6">
        <v>-2E-3</v>
      </c>
      <c r="X36" s="6">
        <v>0</v>
      </c>
      <c r="Y36" s="6">
        <v>0</v>
      </c>
      <c r="Z36" s="6">
        <v>3.9E-2</v>
      </c>
      <c r="AA36" s="6">
        <v>3.7999999999999999E-2</v>
      </c>
      <c r="AB36" s="6">
        <v>0</v>
      </c>
      <c r="AC36" s="6">
        <v>3.9E-2</v>
      </c>
      <c r="AD36" s="6">
        <v>3.7999999999999999E-2</v>
      </c>
      <c r="AE36" s="6">
        <v>0</v>
      </c>
      <c r="AF36" s="5"/>
      <c r="AG36" s="6">
        <v>0</v>
      </c>
      <c r="AH36" s="5"/>
      <c r="AI36" s="6">
        <v>0.189</v>
      </c>
      <c r="AJ36" s="6">
        <v>0.188</v>
      </c>
      <c r="AK36" s="6">
        <v>1E-3</v>
      </c>
      <c r="AL36" s="6">
        <v>0</v>
      </c>
      <c r="AM36" s="7">
        <v>0</v>
      </c>
    </row>
    <row r="37" spans="1:39" x14ac:dyDescent="0.25">
      <c r="A37" s="12" t="s">
        <v>61</v>
      </c>
      <c r="B37" s="12" t="s">
        <v>46</v>
      </c>
      <c r="C37" s="2" t="s">
        <v>71</v>
      </c>
      <c r="D37" s="2" t="s">
        <v>71</v>
      </c>
      <c r="E37" s="3">
        <v>0.97499999999999998</v>
      </c>
      <c r="F37" s="3">
        <v>7.0999999999999994E-2</v>
      </c>
      <c r="G37" s="3">
        <v>6.9000000000000006E-2</v>
      </c>
      <c r="H37" s="3">
        <v>0</v>
      </c>
      <c r="I37" s="4">
        <v>2</v>
      </c>
      <c r="J37" s="3">
        <v>-0.75</v>
      </c>
      <c r="K37" s="4">
        <v>67</v>
      </c>
      <c r="L37" s="4">
        <v>-3</v>
      </c>
      <c r="M37" s="4">
        <v>23338</v>
      </c>
      <c r="N37" s="4">
        <v>22371</v>
      </c>
      <c r="O37" s="4">
        <f t="shared" si="0"/>
        <v>967</v>
      </c>
      <c r="P37" s="3">
        <v>4.2999999999999997E-2</v>
      </c>
      <c r="Q37" s="4">
        <v>1533</v>
      </c>
      <c r="R37" s="4">
        <v>3960</v>
      </c>
      <c r="S37" s="3">
        <v>-0.61299999999999999</v>
      </c>
      <c r="T37" s="4">
        <v>766.61</v>
      </c>
      <c r="U37" s="3">
        <v>0.54900000000000004</v>
      </c>
      <c r="V37" s="4">
        <v>20551</v>
      </c>
      <c r="W37" s="3">
        <v>8.9999999999999993E-3</v>
      </c>
      <c r="X37" s="3">
        <v>0</v>
      </c>
      <c r="Y37" s="3">
        <v>1.4330000000000001</v>
      </c>
      <c r="Z37" s="3">
        <v>1.399</v>
      </c>
      <c r="AA37" s="3">
        <v>1.2509999999999999</v>
      </c>
      <c r="AB37" s="3">
        <v>0.14799999999999999</v>
      </c>
      <c r="AC37" s="3">
        <v>1.399</v>
      </c>
      <c r="AD37" s="3">
        <v>1.2509999999999999</v>
      </c>
      <c r="AE37" s="3">
        <v>0.14799999999999999</v>
      </c>
      <c r="AF37" s="3">
        <v>0</v>
      </c>
      <c r="AG37" s="3">
        <v>0.378</v>
      </c>
      <c r="AH37" s="3">
        <v>-0.378</v>
      </c>
      <c r="AI37" s="3">
        <v>1.5960000000000001</v>
      </c>
      <c r="AJ37" s="3">
        <v>1.454</v>
      </c>
      <c r="AK37" s="3">
        <v>0.14199999999999999</v>
      </c>
      <c r="AL37" s="3">
        <v>0</v>
      </c>
      <c r="AM37" s="4">
        <v>0</v>
      </c>
    </row>
    <row r="38" spans="1:39" x14ac:dyDescent="0.25">
      <c r="A38" s="12" t="s">
        <v>61</v>
      </c>
      <c r="B38" s="12" t="s">
        <v>46</v>
      </c>
      <c r="C38" s="2" t="s">
        <v>72</v>
      </c>
      <c r="D38" s="2" t="s">
        <v>72</v>
      </c>
      <c r="E38" s="3">
        <v>0.97799999999999998</v>
      </c>
      <c r="F38" s="3">
        <v>9.4E-2</v>
      </c>
      <c r="G38" s="3">
        <v>0.16400000000000001</v>
      </c>
      <c r="H38" s="3">
        <v>0.14499999999999999</v>
      </c>
      <c r="I38" s="4">
        <v>3</v>
      </c>
      <c r="J38" s="3">
        <v>2</v>
      </c>
      <c r="K38" s="4">
        <v>32</v>
      </c>
      <c r="L38" s="4">
        <v>0</v>
      </c>
      <c r="M38" s="4">
        <v>6367</v>
      </c>
      <c r="N38" s="4">
        <v>5575</v>
      </c>
      <c r="O38" s="4">
        <f t="shared" si="0"/>
        <v>792</v>
      </c>
      <c r="P38" s="3">
        <v>0.14199999999999999</v>
      </c>
      <c r="Q38" s="4">
        <v>914</v>
      </c>
      <c r="R38" s="4">
        <v>185</v>
      </c>
      <c r="S38" s="3">
        <v>3.9279999999999999</v>
      </c>
      <c r="T38" s="4">
        <v>304.56</v>
      </c>
      <c r="U38" s="3">
        <v>0.64300000000000002</v>
      </c>
      <c r="V38" s="4">
        <v>4669</v>
      </c>
      <c r="W38" s="3">
        <v>9.4E-2</v>
      </c>
      <c r="X38" s="3">
        <v>1.9E-2</v>
      </c>
      <c r="Y38" s="3">
        <v>0.61599999999999999</v>
      </c>
      <c r="Z38" s="3">
        <v>0.60799999999999998</v>
      </c>
      <c r="AA38" s="3">
        <v>0.68700000000000006</v>
      </c>
      <c r="AB38" s="3">
        <v>-7.9000000000000001E-2</v>
      </c>
      <c r="AC38" s="3">
        <v>0.60799999999999998</v>
      </c>
      <c r="AD38" s="3">
        <v>0.68700000000000006</v>
      </c>
      <c r="AE38" s="3">
        <v>-7.9000000000000001E-2</v>
      </c>
      <c r="AF38" s="3">
        <v>6.2469999999999999</v>
      </c>
      <c r="AG38" s="3">
        <v>0</v>
      </c>
      <c r="AH38" s="3">
        <v>6.2469999999999999</v>
      </c>
      <c r="AI38" s="3">
        <v>0.85699999999999998</v>
      </c>
      <c r="AJ38" s="3">
        <v>0.93700000000000006</v>
      </c>
      <c r="AK38" s="3">
        <v>-0.08</v>
      </c>
      <c r="AL38" s="3">
        <v>0</v>
      </c>
      <c r="AM38" s="4">
        <v>0</v>
      </c>
    </row>
    <row r="39" spans="1:39" x14ac:dyDescent="0.25">
      <c r="A39" s="12" t="s">
        <v>61</v>
      </c>
      <c r="B39" s="12" t="s">
        <v>46</v>
      </c>
      <c r="C39" s="5" t="s">
        <v>42</v>
      </c>
      <c r="D39" s="5"/>
      <c r="E39" s="6">
        <v>0.97499999999999998</v>
      </c>
      <c r="F39" s="6">
        <v>7.8E-2</v>
      </c>
      <c r="G39" s="6">
        <v>8.7999999999999995E-2</v>
      </c>
      <c r="H39" s="6">
        <v>2.9000000000000001E-2</v>
      </c>
      <c r="I39" s="7">
        <v>5</v>
      </c>
      <c r="J39" s="6">
        <v>-0.44400000000000001</v>
      </c>
      <c r="K39" s="7">
        <v>99</v>
      </c>
      <c r="L39" s="7">
        <v>-3</v>
      </c>
      <c r="M39" s="7">
        <v>29705</v>
      </c>
      <c r="N39" s="7">
        <v>27946</v>
      </c>
      <c r="O39" s="4">
        <f t="shared" si="0"/>
        <v>1759</v>
      </c>
      <c r="P39" s="6">
        <v>6.3E-2</v>
      </c>
      <c r="Q39" s="7">
        <v>2447</v>
      </c>
      <c r="R39" s="7">
        <v>4145</v>
      </c>
      <c r="S39" s="6">
        <v>-0.41</v>
      </c>
      <c r="T39" s="7">
        <v>489.38</v>
      </c>
      <c r="U39" s="6">
        <v>6.3E-2</v>
      </c>
      <c r="V39" s="7">
        <v>25221</v>
      </c>
      <c r="W39" s="6">
        <v>2.4E-2</v>
      </c>
      <c r="X39" s="6">
        <v>4.0000000000000001E-3</v>
      </c>
      <c r="Y39" s="6">
        <v>1.2809999999999999</v>
      </c>
      <c r="Z39" s="6">
        <v>1.252</v>
      </c>
      <c r="AA39" s="6">
        <v>1.153</v>
      </c>
      <c r="AB39" s="6">
        <v>9.9000000000000005E-2</v>
      </c>
      <c r="AC39" s="6">
        <v>1.252</v>
      </c>
      <c r="AD39" s="6">
        <v>1.153</v>
      </c>
      <c r="AE39" s="6">
        <v>9.9000000000000005E-2</v>
      </c>
      <c r="AF39" s="6">
        <v>3.8460000000000001</v>
      </c>
      <c r="AG39" s="6">
        <v>0.35499999999999998</v>
      </c>
      <c r="AH39" s="6">
        <v>3.49</v>
      </c>
      <c r="AI39" s="6">
        <v>1.4590000000000001</v>
      </c>
      <c r="AJ39" s="6">
        <v>1.365</v>
      </c>
      <c r="AK39" s="6">
        <v>9.4E-2</v>
      </c>
      <c r="AL39" s="6">
        <v>0</v>
      </c>
      <c r="AM39" s="7">
        <v>0</v>
      </c>
    </row>
    <row r="40" spans="1:39" ht="33.75" x14ac:dyDescent="0.25">
      <c r="A40" s="12" t="s">
        <v>61</v>
      </c>
      <c r="B40" s="12" t="s">
        <v>73</v>
      </c>
      <c r="C40" s="2" t="s">
        <v>73</v>
      </c>
      <c r="D40" s="2" t="s">
        <v>74</v>
      </c>
      <c r="E40" s="3">
        <v>0.56299999999999994</v>
      </c>
      <c r="F40" s="3">
        <v>0.111</v>
      </c>
      <c r="G40" s="3">
        <v>0.20699999999999999</v>
      </c>
      <c r="H40" s="3">
        <v>0</v>
      </c>
      <c r="I40" s="4">
        <v>1</v>
      </c>
      <c r="J40" s="3">
        <v>-0.5</v>
      </c>
      <c r="K40" s="4">
        <v>9</v>
      </c>
      <c r="L40" s="4">
        <v>0</v>
      </c>
      <c r="M40" s="4">
        <v>1342</v>
      </c>
      <c r="N40" s="4">
        <v>1744</v>
      </c>
      <c r="O40" s="4">
        <f t="shared" si="0"/>
        <v>-402</v>
      </c>
      <c r="P40" s="3">
        <v>-0.23</v>
      </c>
      <c r="Q40" s="4">
        <v>361</v>
      </c>
      <c r="R40" s="4">
        <v>402</v>
      </c>
      <c r="S40" s="3">
        <v>-0.10100000000000001</v>
      </c>
      <c r="T40" s="4">
        <v>361.2</v>
      </c>
      <c r="U40" s="3">
        <v>-5.3999999999999999E-2</v>
      </c>
      <c r="V40" s="4">
        <v>3009</v>
      </c>
      <c r="W40" s="3">
        <v>-0.19600000000000001</v>
      </c>
      <c r="X40" s="3">
        <v>0</v>
      </c>
      <c r="Y40" s="3">
        <v>0</v>
      </c>
      <c r="Z40" s="3">
        <v>3.1E-2</v>
      </c>
      <c r="AA40" s="3">
        <v>0.432</v>
      </c>
      <c r="AB40" s="3">
        <v>-0.40100000000000002</v>
      </c>
      <c r="AC40" s="3">
        <v>3.1E-2</v>
      </c>
      <c r="AD40" s="3">
        <v>0.432</v>
      </c>
      <c r="AE40" s="3">
        <v>-0.40100000000000002</v>
      </c>
      <c r="AF40" s="3">
        <v>0</v>
      </c>
      <c r="AG40" s="3">
        <v>0</v>
      </c>
      <c r="AH40" s="3">
        <v>0</v>
      </c>
      <c r="AI40" s="3">
        <v>0.20599999999999999</v>
      </c>
      <c r="AJ40" s="3">
        <v>0.60699999999999998</v>
      </c>
      <c r="AK40" s="3">
        <v>-0.40100000000000002</v>
      </c>
      <c r="AL40" s="3">
        <v>0</v>
      </c>
      <c r="AM40" s="4">
        <v>0</v>
      </c>
    </row>
    <row r="41" spans="1:39" x14ac:dyDescent="0.25">
      <c r="A41" s="12" t="s">
        <v>61</v>
      </c>
      <c r="B41" s="12" t="s">
        <v>73</v>
      </c>
      <c r="C41" s="5" t="s">
        <v>42</v>
      </c>
      <c r="D41" s="5"/>
      <c r="E41" s="6">
        <v>0.56299999999999994</v>
      </c>
      <c r="F41" s="6">
        <v>0.111</v>
      </c>
      <c r="G41" s="6">
        <v>0.20699999999999999</v>
      </c>
      <c r="H41" s="6">
        <v>0</v>
      </c>
      <c r="I41" s="7">
        <v>1</v>
      </c>
      <c r="J41" s="6">
        <v>-0.5</v>
      </c>
      <c r="K41" s="7">
        <v>9</v>
      </c>
      <c r="L41" s="7">
        <v>0</v>
      </c>
      <c r="M41" s="7">
        <v>1342</v>
      </c>
      <c r="N41" s="7">
        <v>1744</v>
      </c>
      <c r="O41" s="4">
        <f t="shared" si="0"/>
        <v>-402</v>
      </c>
      <c r="P41" s="6">
        <v>-0.23</v>
      </c>
      <c r="Q41" s="7">
        <v>361</v>
      </c>
      <c r="R41" s="7">
        <v>402</v>
      </c>
      <c r="S41" s="6">
        <v>-0.10100000000000001</v>
      </c>
      <c r="T41" s="7">
        <v>361.2</v>
      </c>
      <c r="U41" s="6">
        <v>-5.3999999999999999E-2</v>
      </c>
      <c r="V41" s="7">
        <v>3009</v>
      </c>
      <c r="W41" s="6">
        <v>-0.19600000000000001</v>
      </c>
      <c r="X41" s="6">
        <v>0</v>
      </c>
      <c r="Y41" s="6">
        <v>0</v>
      </c>
      <c r="Z41" s="6">
        <v>3.1E-2</v>
      </c>
      <c r="AA41" s="6">
        <v>0.432</v>
      </c>
      <c r="AB41" s="6">
        <v>-0.40100000000000002</v>
      </c>
      <c r="AC41" s="6">
        <v>3.1E-2</v>
      </c>
      <c r="AD41" s="6">
        <v>0.432</v>
      </c>
      <c r="AE41" s="6">
        <v>-0.40100000000000002</v>
      </c>
      <c r="AF41" s="6">
        <v>0</v>
      </c>
      <c r="AG41" s="6">
        <v>0</v>
      </c>
      <c r="AH41" s="6">
        <v>0</v>
      </c>
      <c r="AI41" s="6">
        <v>0.20599999999999999</v>
      </c>
      <c r="AJ41" s="6">
        <v>0.60699999999999998</v>
      </c>
      <c r="AK41" s="6">
        <v>-0.40100000000000002</v>
      </c>
      <c r="AL41" s="6">
        <v>0</v>
      </c>
      <c r="AM41" s="7">
        <v>0</v>
      </c>
    </row>
    <row r="42" spans="1:39" x14ac:dyDescent="0.25">
      <c r="A42" s="12" t="s">
        <v>61</v>
      </c>
      <c r="B42" s="5" t="s">
        <v>42</v>
      </c>
      <c r="C42" s="5"/>
      <c r="D42" s="5"/>
      <c r="E42" s="6">
        <v>0.86799999999999999</v>
      </c>
      <c r="F42" s="6">
        <v>0.124</v>
      </c>
      <c r="G42" s="6">
        <v>0.161</v>
      </c>
      <c r="H42" s="6">
        <v>0.13100000000000001</v>
      </c>
      <c r="I42" s="7">
        <v>49</v>
      </c>
      <c r="J42" s="6">
        <v>-9.2999999999999999E-2</v>
      </c>
      <c r="K42" s="7">
        <v>380</v>
      </c>
      <c r="L42" s="7">
        <v>2</v>
      </c>
      <c r="M42" s="7">
        <v>129040</v>
      </c>
      <c r="N42" s="7">
        <v>125344</v>
      </c>
      <c r="O42" s="4">
        <f t="shared" si="0"/>
        <v>3696</v>
      </c>
      <c r="P42" s="6">
        <v>2.9000000000000001E-2</v>
      </c>
      <c r="Q42" s="7">
        <v>20237</v>
      </c>
      <c r="R42" s="7">
        <v>21629</v>
      </c>
      <c r="S42" s="6">
        <v>-6.4000000000000001E-2</v>
      </c>
      <c r="T42" s="7">
        <v>428.04</v>
      </c>
      <c r="U42" s="6">
        <v>1.7000000000000001E-2</v>
      </c>
      <c r="V42" s="7">
        <v>123529</v>
      </c>
      <c r="W42" s="6">
        <v>-4.3999999999999997E-2</v>
      </c>
      <c r="X42" s="6">
        <v>8.9999999999999993E-3</v>
      </c>
      <c r="Y42" s="6">
        <v>0.65400000000000003</v>
      </c>
      <c r="Z42" s="6">
        <v>0.73499999999999999</v>
      </c>
      <c r="AA42" s="6">
        <v>0.76300000000000001</v>
      </c>
      <c r="AB42" s="6">
        <v>-2.7E-2</v>
      </c>
      <c r="AC42" s="6">
        <v>0.73499999999999999</v>
      </c>
      <c r="AD42" s="6">
        <v>0.76200000000000001</v>
      </c>
      <c r="AE42" s="6">
        <v>-2.7E-2</v>
      </c>
      <c r="AF42" s="6">
        <v>0.34200000000000003</v>
      </c>
      <c r="AG42" s="6">
        <v>2.1389999999999998</v>
      </c>
      <c r="AH42" s="6">
        <v>-1.7969999999999999</v>
      </c>
      <c r="AI42" s="6">
        <v>0.91500000000000004</v>
      </c>
      <c r="AJ42" s="6">
        <v>0.93899999999999995</v>
      </c>
      <c r="AK42" s="6">
        <v>-2.4E-2</v>
      </c>
      <c r="AL42" s="6">
        <v>0</v>
      </c>
      <c r="AM42" s="7">
        <v>0</v>
      </c>
    </row>
    <row r="43" spans="1:39" x14ac:dyDescent="0.25">
      <c r="A43" s="2" t="s">
        <v>75</v>
      </c>
      <c r="B43" s="2" t="s">
        <v>75</v>
      </c>
      <c r="C43" s="2" t="s">
        <v>75</v>
      </c>
      <c r="D43" s="2" t="s">
        <v>75</v>
      </c>
      <c r="E43" s="6">
        <v>0.91300000000000003</v>
      </c>
      <c r="F43" s="6">
        <v>7.8E-2</v>
      </c>
      <c r="G43" s="6">
        <v>0.126</v>
      </c>
      <c r="H43" s="6">
        <v>9.0999999999999998E-2</v>
      </c>
      <c r="I43" s="7">
        <v>431</v>
      </c>
      <c r="J43" s="6">
        <v>0.30599999999999999</v>
      </c>
      <c r="K43" s="7">
        <v>4292</v>
      </c>
      <c r="L43" s="7">
        <v>106</v>
      </c>
      <c r="M43" s="7">
        <v>906796</v>
      </c>
      <c r="N43" s="7">
        <v>872519</v>
      </c>
      <c r="O43" s="4">
        <f t="shared" si="0"/>
        <v>34277</v>
      </c>
      <c r="P43" s="6">
        <v>3.9E-2</v>
      </c>
      <c r="Q43" s="7">
        <v>109951</v>
      </c>
      <c r="R43" s="7">
        <v>103969</v>
      </c>
      <c r="S43" s="6">
        <v>5.8000000000000003E-2</v>
      </c>
      <c r="T43" s="7">
        <v>264.83</v>
      </c>
      <c r="U43" s="6">
        <v>-0.20599999999999999</v>
      </c>
      <c r="V43" s="7">
        <v>818362</v>
      </c>
      <c r="W43" s="6">
        <v>1.4999999999999999E-2</v>
      </c>
      <c r="X43" s="6">
        <v>1.4E-2</v>
      </c>
      <c r="Y43" s="6">
        <v>0.69799999999999995</v>
      </c>
      <c r="Z43" s="6">
        <v>0.72699999999999998</v>
      </c>
      <c r="AA43" s="6">
        <v>0.623</v>
      </c>
      <c r="AB43" s="6">
        <v>0.104</v>
      </c>
      <c r="AC43" s="6">
        <v>0.72699999999999998</v>
      </c>
      <c r="AD43" s="6">
        <v>0.623</v>
      </c>
      <c r="AE43" s="6">
        <v>0.104</v>
      </c>
      <c r="AF43" s="6">
        <v>0.64900000000000002</v>
      </c>
      <c r="AG43" s="6">
        <v>0.91900000000000004</v>
      </c>
      <c r="AH43" s="6">
        <v>-0.27</v>
      </c>
      <c r="AI43" s="6">
        <v>0.84899999999999998</v>
      </c>
      <c r="AJ43" s="6">
        <v>0.745</v>
      </c>
      <c r="AK43" s="6">
        <v>0.104</v>
      </c>
      <c r="AL43" s="6">
        <v>0</v>
      </c>
      <c r="AM43" s="7">
        <v>0</v>
      </c>
    </row>
    <row r="45" spans="1:39" x14ac:dyDescent="0.25">
      <c r="A45" t="s">
        <v>76</v>
      </c>
      <c r="B45" t="s">
        <v>76</v>
      </c>
      <c r="C45" t="s">
        <v>76</v>
      </c>
    </row>
    <row r="46" spans="1:39" x14ac:dyDescent="0.25">
      <c r="A46" s="9" t="s">
        <v>108</v>
      </c>
      <c r="B46" s="9" t="s">
        <v>107</v>
      </c>
    </row>
  </sheetData>
  <mergeCells count="18">
    <mergeCell ref="C19:C20"/>
    <mergeCell ref="A4:AM4"/>
    <mergeCell ref="A5:AM5"/>
    <mergeCell ref="A7:A25"/>
    <mergeCell ref="A26:A42"/>
    <mergeCell ref="B7:B9"/>
    <mergeCell ref="B10:B11"/>
    <mergeCell ref="B12:B13"/>
    <mergeCell ref="B14:B15"/>
    <mergeCell ref="B35:B36"/>
    <mergeCell ref="B37:B39"/>
    <mergeCell ref="B16:B22"/>
    <mergeCell ref="B23:B24"/>
    <mergeCell ref="B26:B27"/>
    <mergeCell ref="B28:B29"/>
    <mergeCell ref="B30:B32"/>
    <mergeCell ref="B33:B34"/>
    <mergeCell ref="B40:B41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C923-1088-4F56-92AC-0FF6DD715E93}">
  <dimension ref="A4:AM46"/>
  <sheetViews>
    <sheetView workbookViewId="0">
      <selection activeCell="O12" sqref="O12"/>
    </sheetView>
  </sheetViews>
  <sheetFormatPr baseColWidth="10" defaultRowHeight="15" x14ac:dyDescent="0.25"/>
  <sheetData>
    <row r="4" spans="1:39" ht="20.25" x14ac:dyDescent="0.25">
      <c r="A4" s="10" t="s">
        <v>109</v>
      </c>
      <c r="B4" s="10" t="s">
        <v>109</v>
      </c>
      <c r="C4" s="10" t="s">
        <v>109</v>
      </c>
      <c r="D4" s="10" t="s">
        <v>109</v>
      </c>
      <c r="E4" s="10" t="s">
        <v>109</v>
      </c>
      <c r="F4" s="10" t="s">
        <v>109</v>
      </c>
      <c r="G4" s="10" t="s">
        <v>109</v>
      </c>
      <c r="H4" s="10" t="s">
        <v>109</v>
      </c>
      <c r="I4" s="10" t="s">
        <v>109</v>
      </c>
      <c r="J4" s="10" t="s">
        <v>109</v>
      </c>
      <c r="K4" s="10" t="s">
        <v>109</v>
      </c>
      <c r="L4" s="10" t="s">
        <v>109</v>
      </c>
      <c r="M4" s="10" t="s">
        <v>109</v>
      </c>
      <c r="N4" s="10" t="s">
        <v>109</v>
      </c>
      <c r="O4" s="10"/>
      <c r="P4" s="10" t="s">
        <v>109</v>
      </c>
      <c r="Q4" s="10" t="s">
        <v>109</v>
      </c>
      <c r="R4" s="10" t="s">
        <v>109</v>
      </c>
      <c r="S4" s="10" t="s">
        <v>109</v>
      </c>
      <c r="T4" s="10" t="s">
        <v>109</v>
      </c>
      <c r="U4" s="10" t="s">
        <v>109</v>
      </c>
      <c r="V4" s="10" t="s">
        <v>109</v>
      </c>
      <c r="W4" s="10" t="s">
        <v>109</v>
      </c>
      <c r="X4" s="10" t="s">
        <v>109</v>
      </c>
      <c r="Y4" s="10" t="s">
        <v>109</v>
      </c>
      <c r="Z4" s="10" t="s">
        <v>109</v>
      </c>
      <c r="AA4" s="10" t="s">
        <v>109</v>
      </c>
      <c r="AB4" s="10" t="s">
        <v>109</v>
      </c>
      <c r="AC4" s="10" t="s">
        <v>109</v>
      </c>
      <c r="AD4" s="10" t="s">
        <v>109</v>
      </c>
      <c r="AE4" s="10" t="s">
        <v>109</v>
      </c>
      <c r="AF4" s="10" t="s">
        <v>109</v>
      </c>
      <c r="AG4" s="10" t="s">
        <v>109</v>
      </c>
      <c r="AH4" s="10" t="s">
        <v>109</v>
      </c>
      <c r="AI4" s="10" t="s">
        <v>109</v>
      </c>
      <c r="AJ4" s="10" t="s">
        <v>109</v>
      </c>
      <c r="AK4" s="10" t="s">
        <v>109</v>
      </c>
      <c r="AL4" s="10" t="s">
        <v>109</v>
      </c>
      <c r="AM4" s="10" t="s">
        <v>109</v>
      </c>
    </row>
    <row r="5" spans="1:39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/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  <c r="AM5" s="11" t="s">
        <v>1</v>
      </c>
    </row>
    <row r="6" spans="1:39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92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27</v>
      </c>
      <c r="AF6" s="1" t="s">
        <v>30</v>
      </c>
      <c r="AG6" s="1" t="s">
        <v>31</v>
      </c>
      <c r="AH6" s="1" t="s">
        <v>27</v>
      </c>
      <c r="AI6" s="1" t="s">
        <v>32</v>
      </c>
      <c r="AJ6" s="1" t="s">
        <v>33</v>
      </c>
      <c r="AK6" s="1" t="s">
        <v>34</v>
      </c>
      <c r="AL6" s="1" t="s">
        <v>35</v>
      </c>
      <c r="AM6" s="1" t="s">
        <v>36</v>
      </c>
    </row>
    <row r="7" spans="1:39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1.008</v>
      </c>
      <c r="F7" s="3">
        <v>3.6999999999999998E-2</v>
      </c>
      <c r="G7" s="3">
        <v>0.14899999999999999</v>
      </c>
      <c r="H7" s="3">
        <v>0.13500000000000001</v>
      </c>
      <c r="I7" s="4">
        <v>6</v>
      </c>
      <c r="J7" s="8"/>
      <c r="K7" s="4">
        <v>32</v>
      </c>
      <c r="L7" s="4">
        <v>5</v>
      </c>
      <c r="M7" s="4">
        <v>5448</v>
      </c>
      <c r="N7" s="4">
        <v>4706</v>
      </c>
      <c r="O7" s="4"/>
      <c r="P7" s="3">
        <v>0.158</v>
      </c>
      <c r="Q7" s="4">
        <v>703</v>
      </c>
      <c r="R7" s="4">
        <v>0</v>
      </c>
      <c r="S7" s="8"/>
      <c r="T7" s="4">
        <v>117.19</v>
      </c>
      <c r="U7" s="8"/>
      <c r="V7" s="4">
        <v>3987</v>
      </c>
      <c r="W7" s="3">
        <v>1.6E-2</v>
      </c>
      <c r="X7" s="3">
        <v>1.4999999999999999E-2</v>
      </c>
      <c r="Y7" s="3">
        <v>0</v>
      </c>
      <c r="Z7" s="3">
        <v>0.129</v>
      </c>
      <c r="AA7" s="3">
        <v>0.129</v>
      </c>
      <c r="AB7" s="3">
        <v>0</v>
      </c>
      <c r="AC7" s="3">
        <v>0.129</v>
      </c>
      <c r="AD7" s="3">
        <v>0.129</v>
      </c>
      <c r="AE7" s="3">
        <v>0</v>
      </c>
      <c r="AF7" s="3">
        <v>0</v>
      </c>
      <c r="AG7" s="8"/>
      <c r="AH7" s="8"/>
      <c r="AI7" s="3">
        <v>0.34699999999999998</v>
      </c>
      <c r="AJ7" s="3">
        <v>0.35399999999999998</v>
      </c>
      <c r="AK7" s="3">
        <v>-7.0000000000000001E-3</v>
      </c>
      <c r="AL7" s="3">
        <v>0.51659999999999995</v>
      </c>
      <c r="AM7" s="4">
        <v>1927</v>
      </c>
    </row>
    <row r="8" spans="1:39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1.014</v>
      </c>
      <c r="F8" s="3">
        <v>0.02</v>
      </c>
      <c r="G8" s="3">
        <v>0</v>
      </c>
      <c r="H8" s="3">
        <v>0</v>
      </c>
      <c r="I8" s="4">
        <v>0</v>
      </c>
      <c r="J8" s="3">
        <v>-1</v>
      </c>
      <c r="K8" s="4">
        <v>48</v>
      </c>
      <c r="L8" s="4">
        <v>-1</v>
      </c>
      <c r="M8" s="4">
        <v>5842</v>
      </c>
      <c r="N8" s="4">
        <v>5760</v>
      </c>
      <c r="O8" s="4"/>
      <c r="P8" s="3">
        <v>1.4E-2</v>
      </c>
      <c r="Q8" s="4">
        <v>0</v>
      </c>
      <c r="R8" s="4">
        <v>332</v>
      </c>
      <c r="S8" s="3">
        <v>-1</v>
      </c>
      <c r="T8" s="8"/>
      <c r="U8" s="8"/>
      <c r="V8" s="4">
        <v>5016</v>
      </c>
      <c r="W8" s="3">
        <v>9.4E-2</v>
      </c>
      <c r="X8" s="3">
        <v>0</v>
      </c>
      <c r="Y8" s="3">
        <v>0</v>
      </c>
      <c r="Z8" s="3">
        <v>-1E-3</v>
      </c>
      <c r="AA8" s="3">
        <v>-1E-3</v>
      </c>
      <c r="AB8" s="3">
        <v>0</v>
      </c>
      <c r="AC8" s="3">
        <v>-1E-3</v>
      </c>
      <c r="AD8" s="3">
        <v>-1E-3</v>
      </c>
      <c r="AE8" s="3">
        <v>0</v>
      </c>
      <c r="AF8" s="8"/>
      <c r="AG8" s="3">
        <v>0</v>
      </c>
      <c r="AH8" s="8"/>
      <c r="AI8" s="3">
        <v>0.25900000000000001</v>
      </c>
      <c r="AJ8" s="3">
        <v>0.27100000000000002</v>
      </c>
      <c r="AK8" s="3">
        <v>-1.2E-2</v>
      </c>
      <c r="AL8" s="3">
        <v>0.63919999999999999</v>
      </c>
      <c r="AM8" s="4">
        <v>1810</v>
      </c>
    </row>
    <row r="9" spans="1:39" x14ac:dyDescent="0.25">
      <c r="A9" s="12" t="s">
        <v>37</v>
      </c>
      <c r="B9" s="12" t="s">
        <v>38</v>
      </c>
      <c r="C9" s="5" t="s">
        <v>42</v>
      </c>
      <c r="D9" s="5"/>
      <c r="E9" s="6">
        <v>1.0109999999999999</v>
      </c>
      <c r="F9" s="6">
        <v>2.5999999999999999E-2</v>
      </c>
      <c r="G9" s="6">
        <v>6.7000000000000004E-2</v>
      </c>
      <c r="H9" s="6">
        <v>6.0999999999999999E-2</v>
      </c>
      <c r="I9" s="7">
        <v>6</v>
      </c>
      <c r="J9" s="6">
        <v>2</v>
      </c>
      <c r="K9" s="7">
        <v>80</v>
      </c>
      <c r="L9" s="7">
        <v>4</v>
      </c>
      <c r="M9" s="7">
        <v>11290</v>
      </c>
      <c r="N9" s="7">
        <v>10466</v>
      </c>
      <c r="O9" s="7"/>
      <c r="P9" s="6">
        <v>7.9000000000000001E-2</v>
      </c>
      <c r="Q9" s="7">
        <v>703</v>
      </c>
      <c r="R9" s="7">
        <v>332</v>
      </c>
      <c r="S9" s="6">
        <v>1.1160000000000001</v>
      </c>
      <c r="T9" s="7">
        <v>117.19</v>
      </c>
      <c r="U9" s="6">
        <v>-0.29499999999999998</v>
      </c>
      <c r="V9" s="7">
        <v>9003</v>
      </c>
      <c r="W9" s="6">
        <v>5.8000000000000003E-2</v>
      </c>
      <c r="X9" s="6">
        <v>7.0000000000000001E-3</v>
      </c>
      <c r="Y9" s="6">
        <v>0</v>
      </c>
      <c r="Z9" s="6">
        <v>5.6000000000000001E-2</v>
      </c>
      <c r="AA9" s="6">
        <v>5.8999999999999997E-2</v>
      </c>
      <c r="AB9" s="6">
        <v>-2E-3</v>
      </c>
      <c r="AC9" s="6">
        <v>5.6000000000000001E-2</v>
      </c>
      <c r="AD9" s="6">
        <v>5.8999999999999997E-2</v>
      </c>
      <c r="AE9" s="6">
        <v>-2E-3</v>
      </c>
      <c r="AF9" s="6">
        <v>0</v>
      </c>
      <c r="AG9" s="6">
        <v>0</v>
      </c>
      <c r="AH9" s="6">
        <v>0</v>
      </c>
      <c r="AI9" s="6">
        <v>0.29799999999999999</v>
      </c>
      <c r="AJ9" s="6">
        <v>0.31</v>
      </c>
      <c r="AK9" s="6">
        <v>-1.0999999999999999E-2</v>
      </c>
      <c r="AL9" s="6">
        <v>0.58489999999999998</v>
      </c>
      <c r="AM9" s="7">
        <v>3737</v>
      </c>
    </row>
    <row r="10" spans="1:39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0.91600000000000004</v>
      </c>
      <c r="F10" s="3">
        <v>7.8E-2</v>
      </c>
      <c r="G10" s="3">
        <v>0.11899999999999999</v>
      </c>
      <c r="H10" s="3">
        <v>8.5000000000000006E-2</v>
      </c>
      <c r="I10" s="4">
        <v>297</v>
      </c>
      <c r="J10" s="3">
        <v>0.47</v>
      </c>
      <c r="K10" s="4">
        <v>2735</v>
      </c>
      <c r="L10" s="4">
        <v>90</v>
      </c>
      <c r="M10" s="4">
        <v>632143</v>
      </c>
      <c r="N10" s="4">
        <v>610470</v>
      </c>
      <c r="O10" s="4"/>
      <c r="P10" s="3">
        <v>3.5999999999999997E-2</v>
      </c>
      <c r="Q10" s="4">
        <v>72721</v>
      </c>
      <c r="R10" s="4">
        <v>67340</v>
      </c>
      <c r="S10" s="3">
        <v>0.08</v>
      </c>
      <c r="T10" s="4">
        <v>249.43</v>
      </c>
      <c r="U10" s="3">
        <v>-0.28799999999999998</v>
      </c>
      <c r="V10" s="4">
        <v>547746</v>
      </c>
      <c r="W10" s="3">
        <v>1.7999999999999999E-2</v>
      </c>
      <c r="X10" s="3">
        <v>1.6E-2</v>
      </c>
      <c r="Y10" s="3">
        <v>0.76400000000000001</v>
      </c>
      <c r="Z10" s="3">
        <v>0.77400000000000002</v>
      </c>
      <c r="AA10" s="3">
        <v>0.61399999999999999</v>
      </c>
      <c r="AB10" s="3">
        <v>0.16</v>
      </c>
      <c r="AC10" s="3">
        <v>0.77400000000000002</v>
      </c>
      <c r="AD10" s="3">
        <v>0.61399999999999999</v>
      </c>
      <c r="AE10" s="3">
        <v>0.16</v>
      </c>
      <c r="AF10" s="3">
        <v>0.82099999999999995</v>
      </c>
      <c r="AG10" s="3">
        <v>0.58199999999999996</v>
      </c>
      <c r="AH10" s="3">
        <v>0.23899999999999999</v>
      </c>
      <c r="AI10" s="3">
        <v>0.86099999999999999</v>
      </c>
      <c r="AJ10" s="3">
        <v>0.70099999999999996</v>
      </c>
      <c r="AK10" s="3">
        <v>0.16</v>
      </c>
      <c r="AL10" s="3">
        <v>1.0314000000000001</v>
      </c>
      <c r="AM10" s="4">
        <v>-17208</v>
      </c>
    </row>
    <row r="11" spans="1:39" x14ac:dyDescent="0.25">
      <c r="A11" s="12" t="s">
        <v>37</v>
      </c>
      <c r="B11" s="12" t="s">
        <v>43</v>
      </c>
      <c r="C11" s="5" t="s">
        <v>42</v>
      </c>
      <c r="D11" s="5"/>
      <c r="E11" s="6">
        <v>0.91600000000000004</v>
      </c>
      <c r="F11" s="6">
        <v>7.8E-2</v>
      </c>
      <c r="G11" s="6">
        <v>0.11899999999999999</v>
      </c>
      <c r="H11" s="6">
        <v>8.5000000000000006E-2</v>
      </c>
      <c r="I11" s="7">
        <v>297</v>
      </c>
      <c r="J11" s="6">
        <v>0.47</v>
      </c>
      <c r="K11" s="7">
        <v>2735</v>
      </c>
      <c r="L11" s="7">
        <v>90</v>
      </c>
      <c r="M11" s="7">
        <v>632143</v>
      </c>
      <c r="N11" s="7">
        <v>610470</v>
      </c>
      <c r="O11" s="7">
        <f>+M11-N11</f>
        <v>21673</v>
      </c>
      <c r="P11" s="6">
        <v>3.5999999999999997E-2</v>
      </c>
      <c r="Q11" s="7">
        <v>72721</v>
      </c>
      <c r="R11" s="7">
        <v>67340</v>
      </c>
      <c r="S11" s="6">
        <v>0.08</v>
      </c>
      <c r="T11" s="7">
        <v>249.43</v>
      </c>
      <c r="U11" s="6">
        <v>-0.28799999999999998</v>
      </c>
      <c r="V11" s="7">
        <v>547746</v>
      </c>
      <c r="W11" s="6">
        <v>1.7999999999999999E-2</v>
      </c>
      <c r="X11" s="6">
        <v>1.6E-2</v>
      </c>
      <c r="Y11" s="6">
        <v>0.76400000000000001</v>
      </c>
      <c r="Z11" s="6">
        <v>0.77400000000000002</v>
      </c>
      <c r="AA11" s="6">
        <v>0.61399999999999999</v>
      </c>
      <c r="AB11" s="6">
        <v>0.16</v>
      </c>
      <c r="AC11" s="6">
        <v>0.77400000000000002</v>
      </c>
      <c r="AD11" s="6">
        <v>0.61399999999999999</v>
      </c>
      <c r="AE11" s="6">
        <v>0.16</v>
      </c>
      <c r="AF11" s="6">
        <v>0.82099999999999995</v>
      </c>
      <c r="AG11" s="6">
        <v>0.58199999999999996</v>
      </c>
      <c r="AH11" s="6">
        <v>0.23899999999999999</v>
      </c>
      <c r="AI11" s="6">
        <v>0.86099999999999999</v>
      </c>
      <c r="AJ11" s="6">
        <v>0.70099999999999996</v>
      </c>
      <c r="AK11" s="6">
        <v>0.16</v>
      </c>
      <c r="AL11" s="6">
        <v>1.0314000000000001</v>
      </c>
      <c r="AM11" s="7">
        <v>-17208</v>
      </c>
    </row>
    <row r="12" spans="1:39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0.94</v>
      </c>
      <c r="F12" s="3">
        <v>5.2999999999999999E-2</v>
      </c>
      <c r="G12" s="3">
        <v>0.107</v>
      </c>
      <c r="H12" s="3">
        <v>6.5000000000000002E-2</v>
      </c>
      <c r="I12" s="4">
        <v>49</v>
      </c>
      <c r="J12" s="3">
        <v>-5.8000000000000003E-2</v>
      </c>
      <c r="K12" s="4">
        <v>802</v>
      </c>
      <c r="L12" s="4">
        <v>7</v>
      </c>
      <c r="M12" s="4">
        <v>98671</v>
      </c>
      <c r="N12" s="4">
        <v>94261</v>
      </c>
      <c r="O12" s="4"/>
      <c r="P12" s="3">
        <v>4.7E-2</v>
      </c>
      <c r="Q12" s="4">
        <v>10083</v>
      </c>
      <c r="R12" s="4">
        <v>9285</v>
      </c>
      <c r="S12" s="3">
        <v>8.5999999999999993E-2</v>
      </c>
      <c r="T12" s="4">
        <v>205.78</v>
      </c>
      <c r="U12" s="3">
        <v>0.153</v>
      </c>
      <c r="V12" s="4">
        <v>98246</v>
      </c>
      <c r="W12" s="3">
        <v>4.3999999999999997E-2</v>
      </c>
      <c r="X12" s="3">
        <v>4.0000000000000001E-3</v>
      </c>
      <c r="Y12" s="3">
        <v>0.50800000000000001</v>
      </c>
      <c r="Z12" s="3">
        <v>0.56299999999999994</v>
      </c>
      <c r="AA12" s="3">
        <v>0.65400000000000003</v>
      </c>
      <c r="AB12" s="3">
        <v>-9.0999999999999998E-2</v>
      </c>
      <c r="AC12" s="3">
        <v>0.56299999999999994</v>
      </c>
      <c r="AD12" s="3">
        <v>0.65400000000000003</v>
      </c>
      <c r="AE12" s="3">
        <v>-9.0999999999999998E-2</v>
      </c>
      <c r="AF12" s="3">
        <v>0.36799999999999999</v>
      </c>
      <c r="AG12" s="3">
        <v>0.52500000000000002</v>
      </c>
      <c r="AH12" s="3">
        <v>-0.157</v>
      </c>
      <c r="AI12" s="3">
        <v>0.78300000000000003</v>
      </c>
      <c r="AJ12" s="3">
        <v>0.874</v>
      </c>
      <c r="AK12" s="3">
        <v>-9.0999999999999998E-2</v>
      </c>
      <c r="AL12" s="3">
        <v>0.95320000000000005</v>
      </c>
      <c r="AM12" s="4">
        <v>4599</v>
      </c>
    </row>
    <row r="13" spans="1:39" x14ac:dyDescent="0.25">
      <c r="A13" s="12" t="s">
        <v>37</v>
      </c>
      <c r="B13" s="12" t="s">
        <v>45</v>
      </c>
      <c r="C13" s="5" t="s">
        <v>42</v>
      </c>
      <c r="D13" s="5"/>
      <c r="E13" s="6">
        <v>0.94</v>
      </c>
      <c r="F13" s="6">
        <v>5.2999999999999999E-2</v>
      </c>
      <c r="G13" s="6">
        <v>0.107</v>
      </c>
      <c r="H13" s="6">
        <v>6.5000000000000002E-2</v>
      </c>
      <c r="I13" s="7">
        <v>49</v>
      </c>
      <c r="J13" s="6">
        <v>-5.8000000000000003E-2</v>
      </c>
      <c r="K13" s="7">
        <v>802</v>
      </c>
      <c r="L13" s="7">
        <v>7</v>
      </c>
      <c r="M13" s="7">
        <v>98671</v>
      </c>
      <c r="N13" s="7">
        <v>94261</v>
      </c>
      <c r="O13" s="7"/>
      <c r="P13" s="6">
        <v>4.7E-2</v>
      </c>
      <c r="Q13" s="7">
        <v>10083</v>
      </c>
      <c r="R13" s="7">
        <v>9285</v>
      </c>
      <c r="S13" s="6">
        <v>8.5999999999999993E-2</v>
      </c>
      <c r="T13" s="7">
        <v>205.78</v>
      </c>
      <c r="U13" s="6">
        <v>0.153</v>
      </c>
      <c r="V13" s="7">
        <v>98246</v>
      </c>
      <c r="W13" s="6">
        <v>4.3999999999999997E-2</v>
      </c>
      <c r="X13" s="6">
        <v>4.0000000000000001E-3</v>
      </c>
      <c r="Y13" s="6">
        <v>0.50800000000000001</v>
      </c>
      <c r="Z13" s="6">
        <v>0.56299999999999994</v>
      </c>
      <c r="AA13" s="6">
        <v>0.65400000000000003</v>
      </c>
      <c r="AB13" s="6">
        <v>-9.0999999999999998E-2</v>
      </c>
      <c r="AC13" s="6">
        <v>0.56299999999999994</v>
      </c>
      <c r="AD13" s="6">
        <v>0.65400000000000003</v>
      </c>
      <c r="AE13" s="6">
        <v>-9.0999999999999998E-2</v>
      </c>
      <c r="AF13" s="6">
        <v>0.36799999999999999</v>
      </c>
      <c r="AG13" s="6">
        <v>0.52500000000000002</v>
      </c>
      <c r="AH13" s="6">
        <v>-0.157</v>
      </c>
      <c r="AI13" s="6">
        <v>0.78300000000000003</v>
      </c>
      <c r="AJ13" s="6">
        <v>0.874</v>
      </c>
      <c r="AK13" s="6">
        <v>-9.0999999999999998E-2</v>
      </c>
      <c r="AL13" s="6">
        <v>0.95320000000000005</v>
      </c>
      <c r="AM13" s="7">
        <v>4599</v>
      </c>
    </row>
    <row r="14" spans="1:39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1.002</v>
      </c>
      <c r="F14" s="3">
        <v>4.2000000000000003E-2</v>
      </c>
      <c r="G14" s="3">
        <v>4.2000000000000003E-2</v>
      </c>
      <c r="H14" s="3">
        <v>4.2000000000000003E-2</v>
      </c>
      <c r="I14" s="4">
        <v>1</v>
      </c>
      <c r="J14" s="3">
        <v>0</v>
      </c>
      <c r="K14" s="4">
        <v>24</v>
      </c>
      <c r="L14" s="4">
        <v>0</v>
      </c>
      <c r="M14" s="4">
        <v>8623</v>
      </c>
      <c r="N14" s="4">
        <v>8265</v>
      </c>
      <c r="O14" s="4"/>
      <c r="P14" s="3">
        <v>4.2999999999999997E-2</v>
      </c>
      <c r="Q14" s="4">
        <v>344</v>
      </c>
      <c r="R14" s="4">
        <v>994</v>
      </c>
      <c r="S14" s="3">
        <v>-0.65400000000000003</v>
      </c>
      <c r="T14" s="4">
        <v>343.77</v>
      </c>
      <c r="U14" s="3">
        <v>-0.65400000000000003</v>
      </c>
      <c r="V14" s="4">
        <v>10113</v>
      </c>
      <c r="W14" s="3">
        <v>3.1E-2</v>
      </c>
      <c r="X14" s="3">
        <v>0</v>
      </c>
      <c r="Y14" s="3">
        <v>1.395</v>
      </c>
      <c r="Z14" s="3">
        <v>1.476</v>
      </c>
      <c r="AA14" s="3">
        <v>0.51200000000000001</v>
      </c>
      <c r="AB14" s="3">
        <v>0.96399999999999997</v>
      </c>
      <c r="AC14" s="3">
        <v>1.476</v>
      </c>
      <c r="AD14" s="3">
        <v>0.51200000000000001</v>
      </c>
      <c r="AE14" s="3">
        <v>0.96399999999999997</v>
      </c>
      <c r="AF14" s="3">
        <v>0</v>
      </c>
      <c r="AG14" s="3">
        <v>0</v>
      </c>
      <c r="AH14" s="3">
        <v>0</v>
      </c>
      <c r="AI14" s="3">
        <v>1.6759999999999999</v>
      </c>
      <c r="AJ14" s="3">
        <v>0.71199999999999997</v>
      </c>
      <c r="AK14" s="3">
        <v>0.96399999999999997</v>
      </c>
      <c r="AL14" s="3">
        <v>1.8656999999999999</v>
      </c>
      <c r="AM14" s="4">
        <v>-8755</v>
      </c>
    </row>
    <row r="15" spans="1:39" x14ac:dyDescent="0.25">
      <c r="A15" s="12" t="s">
        <v>37</v>
      </c>
      <c r="B15" s="12" t="s">
        <v>46</v>
      </c>
      <c r="C15" s="5" t="s">
        <v>42</v>
      </c>
      <c r="D15" s="5"/>
      <c r="E15" s="6">
        <v>1.002</v>
      </c>
      <c r="F15" s="6">
        <v>4.2000000000000003E-2</v>
      </c>
      <c r="G15" s="6">
        <v>4.2000000000000003E-2</v>
      </c>
      <c r="H15" s="6">
        <v>4.2000000000000003E-2</v>
      </c>
      <c r="I15" s="7">
        <v>1</v>
      </c>
      <c r="J15" s="6">
        <v>0</v>
      </c>
      <c r="K15" s="7">
        <v>24</v>
      </c>
      <c r="L15" s="7">
        <v>0</v>
      </c>
      <c r="M15" s="7">
        <v>8623</v>
      </c>
      <c r="N15" s="7">
        <v>8265</v>
      </c>
      <c r="O15" s="7"/>
      <c r="P15" s="6">
        <v>4.2999999999999997E-2</v>
      </c>
      <c r="Q15" s="7">
        <v>344</v>
      </c>
      <c r="R15" s="7">
        <v>994</v>
      </c>
      <c r="S15" s="6">
        <v>-0.65400000000000003</v>
      </c>
      <c r="T15" s="7">
        <v>343.77</v>
      </c>
      <c r="U15" s="6">
        <v>-0.65400000000000003</v>
      </c>
      <c r="V15" s="7">
        <v>10113</v>
      </c>
      <c r="W15" s="6">
        <v>3.1E-2</v>
      </c>
      <c r="X15" s="6">
        <v>0</v>
      </c>
      <c r="Y15" s="6">
        <v>1.395</v>
      </c>
      <c r="Z15" s="6">
        <v>1.476</v>
      </c>
      <c r="AA15" s="6">
        <v>0.51200000000000001</v>
      </c>
      <c r="AB15" s="6">
        <v>0.96399999999999997</v>
      </c>
      <c r="AC15" s="6">
        <v>1.476</v>
      </c>
      <c r="AD15" s="6">
        <v>0.51200000000000001</v>
      </c>
      <c r="AE15" s="6">
        <v>0.96399999999999997</v>
      </c>
      <c r="AF15" s="6">
        <v>0</v>
      </c>
      <c r="AG15" s="6">
        <v>0</v>
      </c>
      <c r="AH15" s="6">
        <v>0</v>
      </c>
      <c r="AI15" s="6">
        <v>1.6759999999999999</v>
      </c>
      <c r="AJ15" s="6">
        <v>0.71199999999999997</v>
      </c>
      <c r="AK15" s="6">
        <v>0.96399999999999997</v>
      </c>
      <c r="AL15" s="6">
        <v>1.8656999999999999</v>
      </c>
      <c r="AM15" s="7">
        <v>-8755</v>
      </c>
    </row>
    <row r="16" spans="1:39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7</v>
      </c>
      <c r="G16" s="3">
        <v>0.48199999999999998</v>
      </c>
      <c r="H16" s="3">
        <v>0.214</v>
      </c>
      <c r="I16" s="4">
        <v>9</v>
      </c>
      <c r="J16" s="3">
        <v>0.5</v>
      </c>
      <c r="K16" s="4">
        <v>3</v>
      </c>
      <c r="L16" s="4">
        <v>2</v>
      </c>
      <c r="M16" s="4">
        <v>570</v>
      </c>
      <c r="N16" s="4">
        <v>1183</v>
      </c>
      <c r="O16" s="4"/>
      <c r="P16" s="3">
        <v>-0.51800000000000002</v>
      </c>
      <c r="Q16" s="4">
        <v>570</v>
      </c>
      <c r="R16" s="4">
        <v>1183</v>
      </c>
      <c r="S16" s="3">
        <v>-0.51800000000000002</v>
      </c>
      <c r="T16" s="4">
        <v>1665.83</v>
      </c>
      <c r="U16" s="3">
        <v>0.17299999999999999</v>
      </c>
      <c r="V16" s="4">
        <v>679</v>
      </c>
      <c r="W16" s="3">
        <v>-0.442</v>
      </c>
      <c r="X16" s="3">
        <v>2.8000000000000001E-2</v>
      </c>
      <c r="Y16" s="3">
        <v>0.68799999999999994</v>
      </c>
      <c r="Z16" s="3">
        <v>0.80100000000000005</v>
      </c>
      <c r="AA16" s="3">
        <v>0.85499999999999998</v>
      </c>
      <c r="AB16" s="3">
        <v>-5.2999999999999999E-2</v>
      </c>
      <c r="AC16" s="3">
        <v>0.80100000000000005</v>
      </c>
      <c r="AD16" s="3">
        <v>0.85499999999999998</v>
      </c>
      <c r="AE16" s="3">
        <v>-5.2999999999999999E-2</v>
      </c>
      <c r="AF16" s="3">
        <v>0.82899999999999996</v>
      </c>
      <c r="AG16" s="3">
        <v>0.76300000000000001</v>
      </c>
      <c r="AH16" s="3">
        <v>6.6000000000000003E-2</v>
      </c>
      <c r="AI16" s="3">
        <v>0.95099999999999996</v>
      </c>
      <c r="AJ16" s="3">
        <v>1.0049999999999999</v>
      </c>
      <c r="AK16" s="3">
        <v>-5.3999999999999999E-2</v>
      </c>
      <c r="AL16" s="3">
        <v>1.2955000000000001</v>
      </c>
      <c r="AM16" s="4">
        <v>-201</v>
      </c>
    </row>
    <row r="17" spans="1:39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0.58499999999999996</v>
      </c>
      <c r="F17" s="3">
        <v>0.5</v>
      </c>
      <c r="G17" s="3">
        <v>0</v>
      </c>
      <c r="H17" s="3">
        <v>0</v>
      </c>
      <c r="I17" s="4">
        <v>0</v>
      </c>
      <c r="J17" s="3">
        <v>-1</v>
      </c>
      <c r="K17" s="4">
        <v>4</v>
      </c>
      <c r="L17" s="4">
        <v>-4</v>
      </c>
      <c r="M17" s="4">
        <v>571</v>
      </c>
      <c r="N17" s="4">
        <v>977</v>
      </c>
      <c r="O17" s="4"/>
      <c r="P17" s="3">
        <v>-0.41499999999999998</v>
      </c>
      <c r="Q17" s="4">
        <v>0</v>
      </c>
      <c r="R17" s="4">
        <v>98</v>
      </c>
      <c r="S17" s="3">
        <v>-1</v>
      </c>
      <c r="T17" s="8"/>
      <c r="U17" s="8"/>
      <c r="V17" s="4">
        <v>524</v>
      </c>
      <c r="W17" s="3">
        <v>-0.14599999999999999</v>
      </c>
      <c r="X17" s="3">
        <v>0</v>
      </c>
      <c r="Y17" s="3">
        <v>0</v>
      </c>
      <c r="Z17" s="3">
        <v>-5.2999999999999999E-2</v>
      </c>
      <c r="AA17" s="3">
        <v>-5.2999999999999999E-2</v>
      </c>
      <c r="AB17" s="3">
        <v>0</v>
      </c>
      <c r="AC17" s="3">
        <v>-5.2999999999999999E-2</v>
      </c>
      <c r="AD17" s="3">
        <v>-5.2999999999999999E-2</v>
      </c>
      <c r="AE17" s="3">
        <v>0</v>
      </c>
      <c r="AF17" s="8"/>
      <c r="AG17" s="3">
        <v>0</v>
      </c>
      <c r="AH17" s="8"/>
      <c r="AI17" s="3">
        <v>9.7000000000000003E-2</v>
      </c>
      <c r="AJ17" s="3">
        <v>9.7000000000000003E-2</v>
      </c>
      <c r="AK17" s="3">
        <v>0</v>
      </c>
      <c r="AL17" s="3">
        <v>0.28489999999999999</v>
      </c>
      <c r="AM17" s="4">
        <v>375</v>
      </c>
    </row>
    <row r="18" spans="1:39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1.038</v>
      </c>
      <c r="F18" s="3">
        <v>0</v>
      </c>
      <c r="G18" s="3">
        <v>0</v>
      </c>
      <c r="H18" s="3">
        <v>0</v>
      </c>
      <c r="I18" s="4">
        <v>0</v>
      </c>
      <c r="J18" s="8"/>
      <c r="K18" s="4">
        <v>12</v>
      </c>
      <c r="L18" s="4">
        <v>0</v>
      </c>
      <c r="M18" s="4">
        <v>2214</v>
      </c>
      <c r="N18" s="4">
        <v>2133</v>
      </c>
      <c r="O18" s="4"/>
      <c r="P18" s="3">
        <v>3.7999999999999999E-2</v>
      </c>
      <c r="Q18" s="4">
        <v>0</v>
      </c>
      <c r="R18" s="4">
        <v>0</v>
      </c>
      <c r="S18" s="8"/>
      <c r="T18" s="8"/>
      <c r="U18" s="8"/>
      <c r="V18" s="4">
        <v>1913</v>
      </c>
      <c r="W18" s="3">
        <v>2.1000000000000001E-2</v>
      </c>
      <c r="X18" s="3">
        <v>0.44800000000000001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8"/>
      <c r="AG18" s="8"/>
      <c r="AH18" s="8"/>
      <c r="AI18" s="3">
        <v>0.24299999999999999</v>
      </c>
      <c r="AJ18" s="3">
        <v>0.24299999999999999</v>
      </c>
      <c r="AK18" s="3">
        <v>0</v>
      </c>
      <c r="AL18" s="3">
        <v>0.55000000000000004</v>
      </c>
      <c r="AM18" s="4">
        <v>861</v>
      </c>
    </row>
    <row r="19" spans="1:39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0.90700000000000003</v>
      </c>
      <c r="F19" s="3">
        <v>2.5000000000000001E-2</v>
      </c>
      <c r="G19" s="3">
        <v>0.17100000000000001</v>
      </c>
      <c r="H19" s="3">
        <v>0.17100000000000001</v>
      </c>
      <c r="I19" s="4">
        <v>3</v>
      </c>
      <c r="J19" s="3">
        <v>0.5</v>
      </c>
      <c r="K19" s="4">
        <v>118</v>
      </c>
      <c r="L19" s="4">
        <v>0</v>
      </c>
      <c r="M19" s="4">
        <v>266</v>
      </c>
      <c r="N19" s="4">
        <v>247</v>
      </c>
      <c r="O19" s="4"/>
      <c r="P19" s="3">
        <v>7.8E-2</v>
      </c>
      <c r="Q19" s="4">
        <v>42</v>
      </c>
      <c r="R19" s="4">
        <v>30</v>
      </c>
      <c r="S19" s="3">
        <v>0.41199999999999998</v>
      </c>
      <c r="T19" s="4">
        <v>14.07</v>
      </c>
      <c r="U19" s="3">
        <v>-5.8999999999999997E-2</v>
      </c>
      <c r="V19" s="4">
        <v>1303</v>
      </c>
      <c r="W19" s="3">
        <v>-0.02</v>
      </c>
      <c r="X19" s="3">
        <v>0</v>
      </c>
      <c r="Y19" s="3">
        <v>0</v>
      </c>
      <c r="Z19" s="3">
        <v>0.04</v>
      </c>
      <c r="AA19" s="3">
        <v>0.04</v>
      </c>
      <c r="AB19" s="3">
        <v>0</v>
      </c>
      <c r="AC19" s="3">
        <v>0.04</v>
      </c>
      <c r="AD19" s="3">
        <v>0.04</v>
      </c>
      <c r="AE19" s="3">
        <v>0</v>
      </c>
      <c r="AF19" s="3">
        <v>0</v>
      </c>
      <c r="AG19" s="3">
        <v>0</v>
      </c>
      <c r="AH19" s="3">
        <v>0</v>
      </c>
      <c r="AI19" s="3">
        <v>0.27900000000000003</v>
      </c>
      <c r="AJ19" s="3">
        <v>0.28000000000000003</v>
      </c>
      <c r="AK19" s="3">
        <v>-1E-3</v>
      </c>
      <c r="AL19" s="3">
        <v>0.43790000000000001</v>
      </c>
      <c r="AM19" s="4">
        <v>732</v>
      </c>
    </row>
    <row r="20" spans="1:39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0.91900000000000004</v>
      </c>
      <c r="F20" s="3">
        <v>7.6999999999999999E-2</v>
      </c>
      <c r="G20" s="3">
        <v>0.25600000000000001</v>
      </c>
      <c r="H20" s="3">
        <v>0.219</v>
      </c>
      <c r="I20" s="4">
        <v>7</v>
      </c>
      <c r="J20" s="3">
        <v>0.4</v>
      </c>
      <c r="K20" s="4">
        <v>43</v>
      </c>
      <c r="L20" s="4">
        <v>4</v>
      </c>
      <c r="M20" s="4">
        <v>3507</v>
      </c>
      <c r="N20" s="4">
        <v>2984</v>
      </c>
      <c r="O20" s="4"/>
      <c r="P20" s="3">
        <v>0.17499999999999999</v>
      </c>
      <c r="Q20" s="4">
        <v>765</v>
      </c>
      <c r="R20" s="4">
        <v>275</v>
      </c>
      <c r="S20" s="3">
        <v>1.786</v>
      </c>
      <c r="T20" s="4">
        <v>109.29</v>
      </c>
      <c r="U20" s="3">
        <v>0.66500000000000004</v>
      </c>
      <c r="V20" s="4">
        <v>4628</v>
      </c>
      <c r="W20" s="3">
        <v>0.34799999999999998</v>
      </c>
      <c r="X20" s="3">
        <v>0</v>
      </c>
      <c r="Y20" s="3">
        <v>0</v>
      </c>
      <c r="Z20" s="3">
        <v>6.2E-2</v>
      </c>
      <c r="AA20" s="3">
        <v>6.2E-2</v>
      </c>
      <c r="AB20" s="3">
        <v>0</v>
      </c>
      <c r="AC20" s="3">
        <v>6.2E-2</v>
      </c>
      <c r="AD20" s="3">
        <v>6.2E-2</v>
      </c>
      <c r="AE20" s="3">
        <v>0</v>
      </c>
      <c r="AF20" s="3">
        <v>0</v>
      </c>
      <c r="AG20" s="3">
        <v>0</v>
      </c>
      <c r="AH20" s="3">
        <v>0</v>
      </c>
      <c r="AI20" s="3">
        <v>0.26</v>
      </c>
      <c r="AJ20" s="3">
        <v>0.26</v>
      </c>
      <c r="AK20" s="3">
        <v>1E-3</v>
      </c>
      <c r="AL20" s="3">
        <v>0.43109999999999998</v>
      </c>
      <c r="AM20" s="4">
        <v>2633</v>
      </c>
    </row>
    <row r="21" spans="1:39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0.81</v>
      </c>
      <c r="F21" s="3">
        <v>0.1</v>
      </c>
      <c r="G21" s="3">
        <v>0</v>
      </c>
      <c r="H21" s="3">
        <v>0</v>
      </c>
      <c r="I21" s="4">
        <v>0</v>
      </c>
      <c r="J21" s="8"/>
      <c r="K21" s="4">
        <v>27</v>
      </c>
      <c r="L21" s="4">
        <v>-3</v>
      </c>
      <c r="M21" s="4">
        <v>1810</v>
      </c>
      <c r="N21" s="4">
        <v>2235</v>
      </c>
      <c r="O21" s="4"/>
      <c r="P21" s="3">
        <v>-0.19</v>
      </c>
      <c r="Q21" s="4">
        <v>0</v>
      </c>
      <c r="R21" s="4">
        <v>0</v>
      </c>
      <c r="S21" s="8"/>
      <c r="T21" s="8"/>
      <c r="U21" s="8"/>
      <c r="V21" s="4">
        <v>1806</v>
      </c>
      <c r="W21" s="3">
        <v>-0.11600000000000001</v>
      </c>
      <c r="X21" s="3">
        <v>0</v>
      </c>
      <c r="Y21" s="3">
        <v>0</v>
      </c>
      <c r="Z21" s="3">
        <v>3.5000000000000003E-2</v>
      </c>
      <c r="AA21" s="3">
        <v>3.5000000000000003E-2</v>
      </c>
      <c r="AB21" s="3">
        <v>0</v>
      </c>
      <c r="AC21" s="3">
        <v>3.5000000000000003E-2</v>
      </c>
      <c r="AD21" s="3">
        <v>3.5000000000000003E-2</v>
      </c>
      <c r="AE21" s="3">
        <v>0</v>
      </c>
      <c r="AF21" s="8"/>
      <c r="AG21" s="8"/>
      <c r="AH21" s="8"/>
      <c r="AI21" s="3">
        <v>0.28499999999999998</v>
      </c>
      <c r="AJ21" s="3">
        <v>0.28499999999999998</v>
      </c>
      <c r="AK21" s="3">
        <v>0</v>
      </c>
      <c r="AL21" s="3">
        <v>0.43990000000000001</v>
      </c>
      <c r="AM21" s="4">
        <v>1012</v>
      </c>
    </row>
    <row r="22" spans="1:39" x14ac:dyDescent="0.25">
      <c r="A22" s="12" t="s">
        <v>37</v>
      </c>
      <c r="B22" s="12" t="s">
        <v>48</v>
      </c>
      <c r="C22" s="5" t="s">
        <v>42</v>
      </c>
      <c r="D22" s="5"/>
      <c r="E22" s="6">
        <v>0.77500000000000002</v>
      </c>
      <c r="F22" s="6">
        <v>9.6000000000000002E-2</v>
      </c>
      <c r="G22" s="6">
        <v>0.14099999999999999</v>
      </c>
      <c r="H22" s="6">
        <v>9.7000000000000003E-2</v>
      </c>
      <c r="I22" s="7">
        <v>19</v>
      </c>
      <c r="J22" s="6">
        <v>0.35699999999999998</v>
      </c>
      <c r="K22" s="7">
        <v>207</v>
      </c>
      <c r="L22" s="7">
        <v>-1</v>
      </c>
      <c r="M22" s="7">
        <v>8939</v>
      </c>
      <c r="N22" s="7">
        <v>9758</v>
      </c>
      <c r="O22" s="7"/>
      <c r="P22" s="6">
        <v>-8.4000000000000005E-2</v>
      </c>
      <c r="Q22" s="7">
        <v>1378</v>
      </c>
      <c r="R22" s="7">
        <v>1585</v>
      </c>
      <c r="S22" s="6">
        <v>-0.13100000000000001</v>
      </c>
      <c r="T22" s="7">
        <v>133.21</v>
      </c>
      <c r="U22" s="6">
        <v>-0.32600000000000001</v>
      </c>
      <c r="V22" s="7">
        <v>10853</v>
      </c>
      <c r="W22" s="6">
        <v>3.3000000000000002E-2</v>
      </c>
      <c r="X22" s="6">
        <v>8.5000000000000006E-2</v>
      </c>
      <c r="Y22" s="6">
        <v>4.2999999999999997E-2</v>
      </c>
      <c r="Z22" s="6">
        <v>8.5000000000000006E-2</v>
      </c>
      <c r="AA22" s="6">
        <v>0.128</v>
      </c>
      <c r="AB22" s="6">
        <v>-4.2999999999999997E-2</v>
      </c>
      <c r="AC22" s="6">
        <v>8.5000000000000006E-2</v>
      </c>
      <c r="AD22" s="6">
        <v>0.128</v>
      </c>
      <c r="AE22" s="6">
        <v>-4.2999999999999997E-2</v>
      </c>
      <c r="AF22" s="6">
        <v>0.51400000000000001</v>
      </c>
      <c r="AG22" s="6">
        <v>0.66700000000000004</v>
      </c>
      <c r="AH22" s="6">
        <v>-0.154</v>
      </c>
      <c r="AI22" s="6">
        <v>0.29899999999999999</v>
      </c>
      <c r="AJ22" s="6">
        <v>0.34100000000000003</v>
      </c>
      <c r="AK22" s="6">
        <v>-4.2000000000000003E-2</v>
      </c>
      <c r="AL22" s="6">
        <v>0.50139999999999996</v>
      </c>
      <c r="AM22" s="7">
        <v>5412</v>
      </c>
    </row>
    <row r="23" spans="1:39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0.97499999999999998</v>
      </c>
      <c r="F23" s="3">
        <v>0.1</v>
      </c>
      <c r="G23" s="3">
        <v>0.32100000000000001</v>
      </c>
      <c r="H23" s="3">
        <v>0.17599999999999999</v>
      </c>
      <c r="I23" s="4">
        <v>10</v>
      </c>
      <c r="J23" s="3">
        <v>1</v>
      </c>
      <c r="K23" s="4">
        <v>64</v>
      </c>
      <c r="L23" s="4">
        <v>4</v>
      </c>
      <c r="M23" s="4">
        <v>18091</v>
      </c>
      <c r="N23" s="4">
        <v>13955</v>
      </c>
      <c r="O23" s="4"/>
      <c r="P23" s="3">
        <v>0.29599999999999999</v>
      </c>
      <c r="Q23" s="4">
        <v>4484</v>
      </c>
      <c r="R23" s="4">
        <v>2803</v>
      </c>
      <c r="S23" s="3">
        <v>0.6</v>
      </c>
      <c r="T23" s="4">
        <v>448.37</v>
      </c>
      <c r="U23" s="3">
        <v>-0.2</v>
      </c>
      <c r="V23" s="4">
        <v>18873</v>
      </c>
      <c r="W23" s="3">
        <v>0.16300000000000001</v>
      </c>
      <c r="X23" s="3">
        <v>0</v>
      </c>
      <c r="Y23" s="3">
        <v>0.39400000000000002</v>
      </c>
      <c r="Z23" s="3">
        <v>0.42699999999999999</v>
      </c>
      <c r="AA23" s="3">
        <v>0.29599999999999999</v>
      </c>
      <c r="AB23" s="3">
        <v>0.13100000000000001</v>
      </c>
      <c r="AC23" s="3">
        <v>0.42699999999999999</v>
      </c>
      <c r="AD23" s="3">
        <v>0.29599999999999999</v>
      </c>
      <c r="AE23" s="3">
        <v>0.13100000000000001</v>
      </c>
      <c r="AF23" s="3">
        <v>0.34699999999999998</v>
      </c>
      <c r="AG23" s="3">
        <v>0</v>
      </c>
      <c r="AH23" s="3">
        <v>0.34699999999999998</v>
      </c>
      <c r="AI23" s="3">
        <v>0.53600000000000003</v>
      </c>
      <c r="AJ23" s="3">
        <v>0.42099999999999999</v>
      </c>
      <c r="AK23" s="3">
        <v>0.115</v>
      </c>
      <c r="AL23" s="3">
        <v>0.69940000000000002</v>
      </c>
      <c r="AM23" s="4">
        <v>5674</v>
      </c>
    </row>
    <row r="24" spans="1:39" x14ac:dyDescent="0.25">
      <c r="A24" s="12" t="s">
        <v>37</v>
      </c>
      <c r="B24" s="12" t="s">
        <v>59</v>
      </c>
      <c r="C24" s="5" t="s">
        <v>42</v>
      </c>
      <c r="D24" s="5"/>
      <c r="E24" s="6">
        <v>0.97499999999999998</v>
      </c>
      <c r="F24" s="6">
        <v>0.1</v>
      </c>
      <c r="G24" s="6">
        <v>0.32100000000000001</v>
      </c>
      <c r="H24" s="6">
        <v>0.17599999999999999</v>
      </c>
      <c r="I24" s="7">
        <v>10</v>
      </c>
      <c r="J24" s="6">
        <v>1</v>
      </c>
      <c r="K24" s="7">
        <v>64</v>
      </c>
      <c r="L24" s="7">
        <v>4</v>
      </c>
      <c r="M24" s="7">
        <v>18091</v>
      </c>
      <c r="N24" s="7">
        <v>13955</v>
      </c>
      <c r="O24" s="7"/>
      <c r="P24" s="6">
        <v>0.29599999999999999</v>
      </c>
      <c r="Q24" s="7">
        <v>4484</v>
      </c>
      <c r="R24" s="7">
        <v>2803</v>
      </c>
      <c r="S24" s="6">
        <v>0.6</v>
      </c>
      <c r="T24" s="7">
        <v>448.37</v>
      </c>
      <c r="U24" s="6">
        <v>-0.2</v>
      </c>
      <c r="V24" s="7">
        <v>18873</v>
      </c>
      <c r="W24" s="6">
        <v>0.16300000000000001</v>
      </c>
      <c r="X24" s="6">
        <v>0</v>
      </c>
      <c r="Y24" s="6">
        <v>0.39400000000000002</v>
      </c>
      <c r="Z24" s="6">
        <v>0.42699999999999999</v>
      </c>
      <c r="AA24" s="6">
        <v>0.29599999999999999</v>
      </c>
      <c r="AB24" s="6">
        <v>0.13100000000000001</v>
      </c>
      <c r="AC24" s="6">
        <v>0.42699999999999999</v>
      </c>
      <c r="AD24" s="6">
        <v>0.29599999999999999</v>
      </c>
      <c r="AE24" s="6">
        <v>0.13100000000000001</v>
      </c>
      <c r="AF24" s="6">
        <v>0.34699999999999998</v>
      </c>
      <c r="AG24" s="6">
        <v>0</v>
      </c>
      <c r="AH24" s="6">
        <v>0.34699999999999998</v>
      </c>
      <c r="AI24" s="6">
        <v>0.53600000000000003</v>
      </c>
      <c r="AJ24" s="6">
        <v>0.42099999999999999</v>
      </c>
      <c r="AK24" s="6">
        <v>0.115</v>
      </c>
      <c r="AL24" s="6">
        <v>0.69940000000000002</v>
      </c>
      <c r="AM24" s="7">
        <v>5674</v>
      </c>
    </row>
    <row r="25" spans="1:39" x14ac:dyDescent="0.25">
      <c r="A25" s="12" t="s">
        <v>37</v>
      </c>
      <c r="B25" s="5" t="s">
        <v>42</v>
      </c>
      <c r="C25" s="5"/>
      <c r="D25" s="5"/>
      <c r="E25" s="6">
        <v>0.92100000000000004</v>
      </c>
      <c r="F25" s="6">
        <v>7.2999999999999995E-2</v>
      </c>
      <c r="G25" s="6">
        <v>0.12</v>
      </c>
      <c r="H25" s="6">
        <v>8.4000000000000005E-2</v>
      </c>
      <c r="I25" s="7">
        <v>382</v>
      </c>
      <c r="J25" s="6">
        <v>0.38400000000000001</v>
      </c>
      <c r="K25" s="7">
        <v>3912</v>
      </c>
      <c r="L25" s="7">
        <v>104</v>
      </c>
      <c r="M25" s="7">
        <v>777757</v>
      </c>
      <c r="N25" s="7">
        <v>747175</v>
      </c>
      <c r="O25" s="7"/>
      <c r="P25" s="6">
        <v>4.1000000000000002E-2</v>
      </c>
      <c r="Q25" s="7">
        <v>89713</v>
      </c>
      <c r="R25" s="7">
        <v>82340</v>
      </c>
      <c r="S25" s="6">
        <v>0.09</v>
      </c>
      <c r="T25" s="7">
        <v>243.86</v>
      </c>
      <c r="U25" s="6">
        <v>-0.22900000000000001</v>
      </c>
      <c r="V25" s="7">
        <v>694833</v>
      </c>
      <c r="W25" s="6">
        <v>2.5999999999999999E-2</v>
      </c>
      <c r="X25" s="6">
        <v>1.4E-2</v>
      </c>
      <c r="Y25" s="6">
        <v>0.70599999999999996</v>
      </c>
      <c r="Z25" s="6">
        <v>0.72499999999999998</v>
      </c>
      <c r="AA25" s="6">
        <v>0.59599999999999997</v>
      </c>
      <c r="AB25" s="6">
        <v>0.129</v>
      </c>
      <c r="AC25" s="6">
        <v>0.72499999999999998</v>
      </c>
      <c r="AD25" s="6">
        <v>0.59599999999999997</v>
      </c>
      <c r="AE25" s="6">
        <v>0.129</v>
      </c>
      <c r="AF25" s="6">
        <v>0.73499999999999999</v>
      </c>
      <c r="AG25" s="6">
        <v>0.54500000000000004</v>
      </c>
      <c r="AH25" s="6">
        <v>0.19</v>
      </c>
      <c r="AI25" s="6">
        <v>0.83699999999999997</v>
      </c>
      <c r="AJ25" s="6">
        <v>0.70799999999999996</v>
      </c>
      <c r="AK25" s="6">
        <v>0.129</v>
      </c>
      <c r="AL25" s="6">
        <v>1.0094000000000001</v>
      </c>
      <c r="AM25" s="7">
        <v>-6542</v>
      </c>
    </row>
    <row r="26" spans="1:39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1.3819999999999999</v>
      </c>
      <c r="F26" s="3">
        <v>0.10199999999999999</v>
      </c>
      <c r="G26" s="3">
        <v>0.316</v>
      </c>
      <c r="H26" s="3">
        <v>0.14399999999999999</v>
      </c>
      <c r="I26" s="4">
        <v>14</v>
      </c>
      <c r="J26" s="3">
        <v>1.333</v>
      </c>
      <c r="K26" s="4">
        <v>93</v>
      </c>
      <c r="L26" s="4">
        <v>5</v>
      </c>
      <c r="M26" s="4">
        <v>8876</v>
      </c>
      <c r="N26" s="4">
        <v>5228</v>
      </c>
      <c r="O26" s="4"/>
      <c r="P26" s="3">
        <v>0.69799999999999995</v>
      </c>
      <c r="Q26" s="4">
        <v>1650</v>
      </c>
      <c r="R26" s="4">
        <v>764</v>
      </c>
      <c r="S26" s="3">
        <v>1.1599999999999999</v>
      </c>
      <c r="T26" s="4">
        <v>136.69</v>
      </c>
      <c r="U26" s="3">
        <v>-7.1999999999999995E-2</v>
      </c>
      <c r="V26" s="4">
        <v>7882</v>
      </c>
      <c r="W26" s="3">
        <v>0.312</v>
      </c>
      <c r="X26" s="3">
        <v>1.4999999999999999E-2</v>
      </c>
      <c r="Y26" s="3">
        <v>0</v>
      </c>
      <c r="Z26" s="3">
        <v>0.17699999999999999</v>
      </c>
      <c r="AA26" s="3">
        <v>0.17699999999999999</v>
      </c>
      <c r="AB26" s="3">
        <v>0</v>
      </c>
      <c r="AC26" s="3">
        <v>0.191</v>
      </c>
      <c r="AD26" s="3">
        <v>0.191</v>
      </c>
      <c r="AE26" s="3">
        <v>0</v>
      </c>
      <c r="AF26" s="3">
        <v>0</v>
      </c>
      <c r="AG26" s="3">
        <v>0</v>
      </c>
      <c r="AH26" s="3">
        <v>0</v>
      </c>
      <c r="AI26" s="3">
        <v>0.35399999999999998</v>
      </c>
      <c r="AJ26" s="3">
        <v>0.36199999999999999</v>
      </c>
      <c r="AK26" s="3">
        <v>-8.0000000000000002E-3</v>
      </c>
      <c r="AL26" s="3">
        <v>0.5161</v>
      </c>
      <c r="AM26" s="4">
        <v>3814</v>
      </c>
    </row>
    <row r="27" spans="1:39" x14ac:dyDescent="0.25">
      <c r="A27" s="12" t="s">
        <v>61</v>
      </c>
      <c r="B27" s="12" t="s">
        <v>39</v>
      </c>
      <c r="C27" s="5" t="s">
        <v>42</v>
      </c>
      <c r="D27" s="5"/>
      <c r="E27" s="6">
        <v>1.3819999999999999</v>
      </c>
      <c r="F27" s="6">
        <v>0.10199999999999999</v>
      </c>
      <c r="G27" s="6">
        <v>0.316</v>
      </c>
      <c r="H27" s="6">
        <v>0.14399999999999999</v>
      </c>
      <c r="I27" s="7">
        <v>14</v>
      </c>
      <c r="J27" s="6">
        <v>1.333</v>
      </c>
      <c r="K27" s="7">
        <v>93</v>
      </c>
      <c r="L27" s="7">
        <v>5</v>
      </c>
      <c r="M27" s="7">
        <v>8876</v>
      </c>
      <c r="N27" s="7">
        <v>5228</v>
      </c>
      <c r="O27" s="7"/>
      <c r="P27" s="6">
        <v>0.69799999999999995</v>
      </c>
      <c r="Q27" s="7">
        <v>1650</v>
      </c>
      <c r="R27" s="7">
        <v>764</v>
      </c>
      <c r="S27" s="6">
        <v>1.1599999999999999</v>
      </c>
      <c r="T27" s="7">
        <v>136.69</v>
      </c>
      <c r="U27" s="6">
        <v>-7.1999999999999995E-2</v>
      </c>
      <c r="V27" s="7">
        <v>7882</v>
      </c>
      <c r="W27" s="6">
        <v>0.312</v>
      </c>
      <c r="X27" s="6">
        <v>1.4999999999999999E-2</v>
      </c>
      <c r="Y27" s="6">
        <v>0</v>
      </c>
      <c r="Z27" s="6">
        <v>0.17699999999999999</v>
      </c>
      <c r="AA27" s="6">
        <v>0.17699999999999999</v>
      </c>
      <c r="AB27" s="6">
        <v>0</v>
      </c>
      <c r="AC27" s="6">
        <v>0.191</v>
      </c>
      <c r="AD27" s="6">
        <v>0.191</v>
      </c>
      <c r="AE27" s="6">
        <v>0</v>
      </c>
      <c r="AF27" s="6">
        <v>0</v>
      </c>
      <c r="AG27" s="6">
        <v>0</v>
      </c>
      <c r="AH27" s="6">
        <v>0</v>
      </c>
      <c r="AI27" s="6">
        <v>0.35399999999999998</v>
      </c>
      <c r="AJ27" s="6">
        <v>0.36199999999999999</v>
      </c>
      <c r="AK27" s="6">
        <v>-8.0000000000000002E-3</v>
      </c>
      <c r="AL27" s="6">
        <v>0.5161</v>
      </c>
      <c r="AM27" s="7">
        <v>3814</v>
      </c>
    </row>
    <row r="28" spans="1:39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-0.27700000000000002</v>
      </c>
      <c r="F28" s="3">
        <v>0.27400000000000002</v>
      </c>
      <c r="G28" s="3">
        <v>0.86799999999999999</v>
      </c>
      <c r="H28" s="3">
        <v>0.86799999999999999</v>
      </c>
      <c r="I28" s="4">
        <v>19</v>
      </c>
      <c r="J28" s="3">
        <v>-0.26900000000000002</v>
      </c>
      <c r="K28" s="4">
        <v>64</v>
      </c>
      <c r="L28" s="4">
        <v>2</v>
      </c>
      <c r="M28" s="4">
        <v>6580</v>
      </c>
      <c r="N28" s="4">
        <v>11118</v>
      </c>
      <c r="O28" s="4"/>
      <c r="P28" s="3">
        <v>-0.40799999999999997</v>
      </c>
      <c r="Q28" s="4">
        <v>9655</v>
      </c>
      <c r="R28" s="4">
        <v>9088</v>
      </c>
      <c r="S28" s="3">
        <v>6.2E-2</v>
      </c>
      <c r="T28" s="4">
        <v>502.55</v>
      </c>
      <c r="U28" s="3">
        <v>0.44400000000000001</v>
      </c>
      <c r="V28" s="4">
        <v>17346</v>
      </c>
      <c r="W28" s="3">
        <v>-0.215</v>
      </c>
      <c r="X28" s="3">
        <v>0.01</v>
      </c>
      <c r="Y28" s="3">
        <v>0.67300000000000004</v>
      </c>
      <c r="Z28" s="3">
        <v>0.69099999999999995</v>
      </c>
      <c r="AA28" s="3">
        <v>0.48299999999999998</v>
      </c>
      <c r="AB28" s="3">
        <v>0.20699999999999999</v>
      </c>
      <c r="AC28" s="3">
        <v>0.69099999999999995</v>
      </c>
      <c r="AD28" s="3">
        <v>0.48299999999999998</v>
      </c>
      <c r="AE28" s="3">
        <v>0.20699999999999999</v>
      </c>
      <c r="AF28" s="3">
        <v>0</v>
      </c>
      <c r="AG28" s="3">
        <v>0</v>
      </c>
      <c r="AH28" s="3">
        <v>0</v>
      </c>
      <c r="AI28" s="3">
        <v>0.76100000000000001</v>
      </c>
      <c r="AJ28" s="3">
        <v>0.55400000000000005</v>
      </c>
      <c r="AK28" s="3">
        <v>0.20699999999999999</v>
      </c>
      <c r="AL28" s="3">
        <v>0.9284</v>
      </c>
      <c r="AM28" s="4">
        <v>1242</v>
      </c>
    </row>
    <row r="29" spans="1:39" x14ac:dyDescent="0.25">
      <c r="A29" s="12" t="s">
        <v>61</v>
      </c>
      <c r="B29" s="12" t="s">
        <v>43</v>
      </c>
      <c r="C29" s="5" t="s">
        <v>42</v>
      </c>
      <c r="D29" s="5"/>
      <c r="E29" s="6">
        <v>-0.27700000000000002</v>
      </c>
      <c r="F29" s="6">
        <v>0.27400000000000002</v>
      </c>
      <c r="G29" s="6">
        <v>0.86799999999999999</v>
      </c>
      <c r="H29" s="6">
        <v>0.86799999999999999</v>
      </c>
      <c r="I29" s="7">
        <v>19</v>
      </c>
      <c r="J29" s="6">
        <v>-0.26900000000000002</v>
      </c>
      <c r="K29" s="7">
        <v>64</v>
      </c>
      <c r="L29" s="7">
        <v>2</v>
      </c>
      <c r="M29" s="7">
        <v>6580</v>
      </c>
      <c r="N29" s="7">
        <v>11118</v>
      </c>
      <c r="O29" s="7"/>
      <c r="P29" s="6">
        <v>-0.40799999999999997</v>
      </c>
      <c r="Q29" s="7">
        <v>9655</v>
      </c>
      <c r="R29" s="7">
        <v>9088</v>
      </c>
      <c r="S29" s="6">
        <v>6.2E-2</v>
      </c>
      <c r="T29" s="7">
        <v>502.55</v>
      </c>
      <c r="U29" s="6">
        <v>0.44400000000000001</v>
      </c>
      <c r="V29" s="7">
        <v>17346</v>
      </c>
      <c r="W29" s="6">
        <v>-0.215</v>
      </c>
      <c r="X29" s="6">
        <v>0.01</v>
      </c>
      <c r="Y29" s="6">
        <v>0.67300000000000004</v>
      </c>
      <c r="Z29" s="6">
        <v>0.69099999999999995</v>
      </c>
      <c r="AA29" s="6">
        <v>0.48299999999999998</v>
      </c>
      <c r="AB29" s="6">
        <v>0.20699999999999999</v>
      </c>
      <c r="AC29" s="6">
        <v>0.69099999999999995</v>
      </c>
      <c r="AD29" s="6">
        <v>0.48299999999999998</v>
      </c>
      <c r="AE29" s="6">
        <v>0.20699999999999999</v>
      </c>
      <c r="AF29" s="6">
        <v>0</v>
      </c>
      <c r="AG29" s="6">
        <v>0</v>
      </c>
      <c r="AH29" s="6">
        <v>0</v>
      </c>
      <c r="AI29" s="6">
        <v>0.76100000000000001</v>
      </c>
      <c r="AJ29" s="6">
        <v>0.55400000000000005</v>
      </c>
      <c r="AK29" s="6">
        <v>0.20699999999999999</v>
      </c>
      <c r="AL29" s="6">
        <v>0.9284</v>
      </c>
      <c r="AM29" s="7">
        <v>1242</v>
      </c>
    </row>
    <row r="30" spans="1:39" x14ac:dyDescent="0.25">
      <c r="A30" s="12" t="s">
        <v>61</v>
      </c>
      <c r="B30" s="12" t="s">
        <v>64</v>
      </c>
      <c r="C30" s="2" t="s">
        <v>53</v>
      </c>
      <c r="D30" s="2" t="s">
        <v>104</v>
      </c>
      <c r="E30" s="3">
        <v>0</v>
      </c>
      <c r="F30" s="3">
        <v>1</v>
      </c>
      <c r="G30" s="3">
        <v>0</v>
      </c>
      <c r="H30" s="3">
        <v>0</v>
      </c>
      <c r="I30" s="4">
        <v>0</v>
      </c>
      <c r="J30" s="8"/>
      <c r="K30" s="4">
        <v>0</v>
      </c>
      <c r="L30" s="4">
        <v>-1</v>
      </c>
      <c r="M30" s="4">
        <v>0</v>
      </c>
      <c r="N30" s="4">
        <v>333</v>
      </c>
      <c r="O30" s="4"/>
      <c r="P30" s="3">
        <v>-1</v>
      </c>
      <c r="Q30" s="4">
        <v>0</v>
      </c>
      <c r="R30" s="4">
        <v>0</v>
      </c>
      <c r="S30" s="8"/>
      <c r="T30" s="8"/>
      <c r="U30" s="8"/>
      <c r="V30" s="4">
        <v>178</v>
      </c>
      <c r="W30" s="3">
        <v>-3.7999999999999999E-2</v>
      </c>
      <c r="X30" s="8"/>
      <c r="Y30" s="3">
        <v>0</v>
      </c>
      <c r="Z30" s="3">
        <v>5.3999999999999999E-2</v>
      </c>
      <c r="AA30" s="3">
        <v>5.3999999999999999E-2</v>
      </c>
      <c r="AB30" s="3">
        <v>0</v>
      </c>
      <c r="AC30" s="3">
        <v>5.3999999999999999E-2</v>
      </c>
      <c r="AD30" s="3">
        <v>5.3999999999999999E-2</v>
      </c>
      <c r="AE30" s="3">
        <v>0</v>
      </c>
      <c r="AF30" s="8"/>
      <c r="AG30" s="8"/>
      <c r="AH30" s="8"/>
      <c r="AI30" s="3">
        <v>0.26400000000000001</v>
      </c>
      <c r="AJ30" s="3">
        <v>0.26400000000000001</v>
      </c>
      <c r="AK30" s="3">
        <v>0</v>
      </c>
      <c r="AL30" s="3">
        <v>0.32650000000000001</v>
      </c>
      <c r="AM30" s="4">
        <v>120</v>
      </c>
    </row>
    <row r="31" spans="1:39" x14ac:dyDescent="0.25">
      <c r="A31" s="12" t="s">
        <v>61</v>
      </c>
      <c r="B31" s="12" t="s">
        <v>64</v>
      </c>
      <c r="C31" s="2" t="s">
        <v>65</v>
      </c>
      <c r="D31" s="2" t="s">
        <v>65</v>
      </c>
      <c r="E31" s="3">
        <v>1.0129999999999999</v>
      </c>
      <c r="F31" s="3">
        <v>0.154</v>
      </c>
      <c r="G31" s="3">
        <v>8.5000000000000006E-2</v>
      </c>
      <c r="H31" s="3">
        <v>6.9000000000000006E-2</v>
      </c>
      <c r="I31" s="4">
        <v>5</v>
      </c>
      <c r="J31" s="3">
        <v>0</v>
      </c>
      <c r="K31" s="4">
        <v>49</v>
      </c>
      <c r="L31" s="4">
        <v>-3</v>
      </c>
      <c r="M31" s="4">
        <v>32843</v>
      </c>
      <c r="N31" s="4">
        <v>29913</v>
      </c>
      <c r="O31" s="4"/>
      <c r="P31" s="3">
        <v>9.8000000000000004E-2</v>
      </c>
      <c r="Q31" s="4">
        <v>2542</v>
      </c>
      <c r="R31" s="4">
        <v>4756</v>
      </c>
      <c r="S31" s="3">
        <v>-0.46600000000000003</v>
      </c>
      <c r="T31" s="4">
        <v>508.39</v>
      </c>
      <c r="U31" s="3">
        <v>-0.46600000000000003</v>
      </c>
      <c r="V31" s="4">
        <v>31942</v>
      </c>
      <c r="W31" s="3">
        <v>-6.2E-2</v>
      </c>
      <c r="X31" s="3">
        <v>1.6E-2</v>
      </c>
      <c r="Y31" s="3">
        <v>1.1040000000000001</v>
      </c>
      <c r="Z31" s="3">
        <v>1.1060000000000001</v>
      </c>
      <c r="AA31" s="3">
        <v>1.375</v>
      </c>
      <c r="AB31" s="3">
        <v>-0.27</v>
      </c>
      <c r="AC31" s="3">
        <v>1.1060000000000001</v>
      </c>
      <c r="AD31" s="3">
        <v>1.3740000000000001</v>
      </c>
      <c r="AE31" s="3">
        <v>-0.26800000000000002</v>
      </c>
      <c r="AF31" s="3">
        <v>0</v>
      </c>
      <c r="AG31" s="3">
        <v>14.911</v>
      </c>
      <c r="AH31" s="3">
        <v>-14.911</v>
      </c>
      <c r="AI31" s="3">
        <v>1.306</v>
      </c>
      <c r="AJ31" s="3">
        <v>1.5760000000000001</v>
      </c>
      <c r="AK31" s="3">
        <v>-0.27</v>
      </c>
      <c r="AL31" s="3">
        <v>1.4354</v>
      </c>
      <c r="AM31" s="4">
        <v>-13906</v>
      </c>
    </row>
    <row r="32" spans="1:39" x14ac:dyDescent="0.25">
      <c r="A32" s="12" t="s">
        <v>61</v>
      </c>
      <c r="B32" s="12" t="s">
        <v>64</v>
      </c>
      <c r="C32" s="5" t="s">
        <v>42</v>
      </c>
      <c r="D32" s="5"/>
      <c r="E32" s="6">
        <v>1.002</v>
      </c>
      <c r="F32" s="6">
        <v>0.17</v>
      </c>
      <c r="G32" s="6">
        <v>8.4000000000000005E-2</v>
      </c>
      <c r="H32" s="6">
        <v>6.8000000000000005E-2</v>
      </c>
      <c r="I32" s="7">
        <v>5</v>
      </c>
      <c r="J32" s="6">
        <v>0</v>
      </c>
      <c r="K32" s="7">
        <v>49</v>
      </c>
      <c r="L32" s="7">
        <v>-4</v>
      </c>
      <c r="M32" s="7">
        <v>32843</v>
      </c>
      <c r="N32" s="7">
        <v>30246</v>
      </c>
      <c r="O32" s="7"/>
      <c r="P32" s="6">
        <v>8.5999999999999993E-2</v>
      </c>
      <c r="Q32" s="7">
        <v>2542</v>
      </c>
      <c r="R32" s="7">
        <v>4756</v>
      </c>
      <c r="S32" s="6">
        <v>-0.46600000000000003</v>
      </c>
      <c r="T32" s="7">
        <v>508.39</v>
      </c>
      <c r="U32" s="6">
        <v>-0.46600000000000003</v>
      </c>
      <c r="V32" s="7">
        <v>32120</v>
      </c>
      <c r="W32" s="6">
        <v>-6.2E-2</v>
      </c>
      <c r="X32" s="6">
        <v>1.6E-2</v>
      </c>
      <c r="Y32" s="6">
        <v>1.0980000000000001</v>
      </c>
      <c r="Z32" s="6">
        <v>1.1000000000000001</v>
      </c>
      <c r="AA32" s="6">
        <v>1.3680000000000001</v>
      </c>
      <c r="AB32" s="6">
        <v>-0.26800000000000002</v>
      </c>
      <c r="AC32" s="6">
        <v>1.1000000000000001</v>
      </c>
      <c r="AD32" s="6">
        <v>1.367</v>
      </c>
      <c r="AE32" s="6">
        <v>-0.26700000000000002</v>
      </c>
      <c r="AF32" s="6">
        <v>0</v>
      </c>
      <c r="AG32" s="6">
        <v>14.911</v>
      </c>
      <c r="AH32" s="6">
        <v>-14.911</v>
      </c>
      <c r="AI32" s="6">
        <v>1.3</v>
      </c>
      <c r="AJ32" s="6">
        <v>1.569</v>
      </c>
      <c r="AK32" s="6">
        <v>-0.26800000000000002</v>
      </c>
      <c r="AL32" s="6">
        <v>1.4292</v>
      </c>
      <c r="AM32" s="7">
        <v>-13786</v>
      </c>
    </row>
    <row r="33" spans="1:39" x14ac:dyDescent="0.25">
      <c r="A33" s="12" t="s">
        <v>61</v>
      </c>
      <c r="B33" s="12" t="s">
        <v>66</v>
      </c>
      <c r="C33" s="2" t="s">
        <v>55</v>
      </c>
      <c r="D33" s="2" t="s">
        <v>67</v>
      </c>
      <c r="E33" s="3">
        <v>0.93700000000000006</v>
      </c>
      <c r="F33" s="3">
        <v>0.06</v>
      </c>
      <c r="G33" s="3">
        <v>8.3000000000000004E-2</v>
      </c>
      <c r="H33" s="3">
        <v>7.2999999999999995E-2</v>
      </c>
      <c r="I33" s="4">
        <v>5</v>
      </c>
      <c r="J33" s="3">
        <v>0</v>
      </c>
      <c r="K33" s="4">
        <v>52</v>
      </c>
      <c r="L33" s="4">
        <v>2</v>
      </c>
      <c r="M33" s="4">
        <v>43841</v>
      </c>
      <c r="N33" s="4">
        <v>42949</v>
      </c>
      <c r="O33" s="4"/>
      <c r="P33" s="3">
        <v>2.1000000000000001E-2</v>
      </c>
      <c r="Q33" s="4">
        <v>3583</v>
      </c>
      <c r="R33" s="4">
        <v>2124</v>
      </c>
      <c r="S33" s="3">
        <v>0.68700000000000006</v>
      </c>
      <c r="T33" s="4">
        <v>716.64</v>
      </c>
      <c r="U33" s="3">
        <v>0.35899999999999999</v>
      </c>
      <c r="V33" s="4">
        <v>34101</v>
      </c>
      <c r="W33" s="3">
        <v>-1.4999999999999999E-2</v>
      </c>
      <c r="X33" s="3">
        <v>5.0000000000000001E-3</v>
      </c>
      <c r="Y33" s="3">
        <v>4.3999999999999997E-2</v>
      </c>
      <c r="Z33" s="3">
        <v>0.25900000000000001</v>
      </c>
      <c r="AA33" s="3">
        <v>0.23499999999999999</v>
      </c>
      <c r="AB33" s="3">
        <v>2.3E-2</v>
      </c>
      <c r="AC33" s="3">
        <v>0.25900000000000001</v>
      </c>
      <c r="AD33" s="3">
        <v>0.23499999999999999</v>
      </c>
      <c r="AE33" s="3">
        <v>2.3E-2</v>
      </c>
      <c r="AF33" s="3">
        <v>0</v>
      </c>
      <c r="AG33" s="3">
        <v>0</v>
      </c>
      <c r="AH33" s="3">
        <v>0</v>
      </c>
      <c r="AI33" s="3">
        <v>0.45900000000000002</v>
      </c>
      <c r="AJ33" s="3">
        <v>0.432</v>
      </c>
      <c r="AK33" s="3">
        <v>2.7E-2</v>
      </c>
      <c r="AL33" s="3">
        <v>0.57940000000000003</v>
      </c>
      <c r="AM33" s="4">
        <v>14342</v>
      </c>
    </row>
    <row r="34" spans="1:39" x14ac:dyDescent="0.25">
      <c r="A34" s="12" t="s">
        <v>61</v>
      </c>
      <c r="B34" s="12" t="s">
        <v>66</v>
      </c>
      <c r="C34" s="5" t="s">
        <v>42</v>
      </c>
      <c r="D34" s="5"/>
      <c r="E34" s="6">
        <v>0.93700000000000006</v>
      </c>
      <c r="F34" s="6">
        <v>0.06</v>
      </c>
      <c r="G34" s="6">
        <v>8.3000000000000004E-2</v>
      </c>
      <c r="H34" s="6">
        <v>7.2999999999999995E-2</v>
      </c>
      <c r="I34" s="7">
        <v>5</v>
      </c>
      <c r="J34" s="6">
        <v>0</v>
      </c>
      <c r="K34" s="7">
        <v>52</v>
      </c>
      <c r="L34" s="7">
        <v>2</v>
      </c>
      <c r="M34" s="7">
        <v>43841</v>
      </c>
      <c r="N34" s="7">
        <v>42949</v>
      </c>
      <c r="O34" s="7"/>
      <c r="P34" s="6">
        <v>2.1000000000000001E-2</v>
      </c>
      <c r="Q34" s="7">
        <v>3583</v>
      </c>
      <c r="R34" s="7">
        <v>2124</v>
      </c>
      <c r="S34" s="6">
        <v>0.68700000000000006</v>
      </c>
      <c r="T34" s="7">
        <v>716.64</v>
      </c>
      <c r="U34" s="6">
        <v>0.35899999999999999</v>
      </c>
      <c r="V34" s="7">
        <v>34101</v>
      </c>
      <c r="W34" s="6">
        <v>-1.4999999999999999E-2</v>
      </c>
      <c r="X34" s="6">
        <v>5.0000000000000001E-3</v>
      </c>
      <c r="Y34" s="6">
        <v>4.3999999999999997E-2</v>
      </c>
      <c r="Z34" s="6">
        <v>0.25900000000000001</v>
      </c>
      <c r="AA34" s="6">
        <v>0.23499999999999999</v>
      </c>
      <c r="AB34" s="6">
        <v>2.3E-2</v>
      </c>
      <c r="AC34" s="6">
        <v>0.25900000000000001</v>
      </c>
      <c r="AD34" s="6">
        <v>0.23499999999999999</v>
      </c>
      <c r="AE34" s="6">
        <v>2.3E-2</v>
      </c>
      <c r="AF34" s="6">
        <v>0</v>
      </c>
      <c r="AG34" s="6">
        <v>0</v>
      </c>
      <c r="AH34" s="6">
        <v>0</v>
      </c>
      <c r="AI34" s="6">
        <v>0.45900000000000002</v>
      </c>
      <c r="AJ34" s="6">
        <v>0.432</v>
      </c>
      <c r="AK34" s="6">
        <v>2.7E-2</v>
      </c>
      <c r="AL34" s="6">
        <v>0.57940000000000003</v>
      </c>
      <c r="AM34" s="7">
        <v>14342</v>
      </c>
    </row>
    <row r="35" spans="1:39" x14ac:dyDescent="0.25">
      <c r="A35" s="12" t="s">
        <v>61</v>
      </c>
      <c r="B35" s="12" t="s">
        <v>68</v>
      </c>
      <c r="C35" s="2" t="s">
        <v>69</v>
      </c>
      <c r="D35" s="2" t="s">
        <v>70</v>
      </c>
      <c r="E35" s="3">
        <v>0.95699999999999996</v>
      </c>
      <c r="F35" s="3">
        <v>0</v>
      </c>
      <c r="G35" s="3">
        <v>0</v>
      </c>
      <c r="H35" s="3">
        <v>0</v>
      </c>
      <c r="I35" s="4">
        <v>0</v>
      </c>
      <c r="J35" s="3">
        <v>-1</v>
      </c>
      <c r="K35" s="4">
        <v>14</v>
      </c>
      <c r="L35" s="4">
        <v>0</v>
      </c>
      <c r="M35" s="4">
        <v>5852</v>
      </c>
      <c r="N35" s="4">
        <v>6114</v>
      </c>
      <c r="O35" s="4"/>
      <c r="P35" s="3">
        <v>-4.2999999999999997E-2</v>
      </c>
      <c r="Q35" s="4">
        <v>0</v>
      </c>
      <c r="R35" s="4">
        <v>350</v>
      </c>
      <c r="S35" s="3">
        <v>-1</v>
      </c>
      <c r="T35" s="8"/>
      <c r="U35" s="8"/>
      <c r="V35" s="4">
        <v>3850</v>
      </c>
      <c r="W35" s="3">
        <v>-2E-3</v>
      </c>
      <c r="X35" s="3">
        <v>0</v>
      </c>
      <c r="Y35" s="3">
        <v>0</v>
      </c>
      <c r="Z35" s="3">
        <v>0.03</v>
      </c>
      <c r="AA35" s="3">
        <v>2.1000000000000001E-2</v>
      </c>
      <c r="AB35" s="3">
        <v>8.9999999999999993E-3</v>
      </c>
      <c r="AC35" s="3">
        <v>0.03</v>
      </c>
      <c r="AD35" s="3">
        <v>2.1000000000000001E-2</v>
      </c>
      <c r="AE35" s="3">
        <v>8.9999999999999993E-3</v>
      </c>
      <c r="AF35" s="8"/>
      <c r="AG35" s="3">
        <v>0</v>
      </c>
      <c r="AH35" s="8"/>
      <c r="AI35" s="3">
        <v>0.18099999999999999</v>
      </c>
      <c r="AJ35" s="3">
        <v>0.17100000000000001</v>
      </c>
      <c r="AK35" s="3">
        <v>0.01</v>
      </c>
      <c r="AL35" s="3">
        <v>0.29049999999999998</v>
      </c>
      <c r="AM35" s="4">
        <v>2732</v>
      </c>
    </row>
    <row r="36" spans="1:39" x14ac:dyDescent="0.25">
      <c r="A36" s="12" t="s">
        <v>61</v>
      </c>
      <c r="B36" s="12" t="s">
        <v>68</v>
      </c>
      <c r="C36" s="5" t="s">
        <v>42</v>
      </c>
      <c r="D36" s="5"/>
      <c r="E36" s="6">
        <v>0.95699999999999996</v>
      </c>
      <c r="F36" s="6">
        <v>0</v>
      </c>
      <c r="G36" s="6">
        <v>0</v>
      </c>
      <c r="H36" s="6">
        <v>0</v>
      </c>
      <c r="I36" s="7">
        <v>0</v>
      </c>
      <c r="J36" s="6">
        <v>-1</v>
      </c>
      <c r="K36" s="7">
        <v>14</v>
      </c>
      <c r="L36" s="7">
        <v>0</v>
      </c>
      <c r="M36" s="7">
        <v>5852</v>
      </c>
      <c r="N36" s="7">
        <v>6114</v>
      </c>
      <c r="O36" s="7"/>
      <c r="P36" s="6">
        <v>-4.2999999999999997E-2</v>
      </c>
      <c r="Q36" s="7">
        <v>0</v>
      </c>
      <c r="R36" s="7">
        <v>350</v>
      </c>
      <c r="S36" s="6">
        <v>-1</v>
      </c>
      <c r="T36" s="5"/>
      <c r="U36" s="5"/>
      <c r="V36" s="7">
        <v>3850</v>
      </c>
      <c r="W36" s="6">
        <v>-2E-3</v>
      </c>
      <c r="X36" s="6">
        <v>0</v>
      </c>
      <c r="Y36" s="6">
        <v>0</v>
      </c>
      <c r="Z36" s="6">
        <v>0.03</v>
      </c>
      <c r="AA36" s="6">
        <v>2.1000000000000001E-2</v>
      </c>
      <c r="AB36" s="6">
        <v>8.9999999999999993E-3</v>
      </c>
      <c r="AC36" s="6">
        <v>0.03</v>
      </c>
      <c r="AD36" s="6">
        <v>2.1000000000000001E-2</v>
      </c>
      <c r="AE36" s="6">
        <v>8.9999999999999993E-3</v>
      </c>
      <c r="AF36" s="5"/>
      <c r="AG36" s="6">
        <v>0</v>
      </c>
      <c r="AH36" s="5"/>
      <c r="AI36" s="6">
        <v>0.18099999999999999</v>
      </c>
      <c r="AJ36" s="6">
        <v>0.17100000000000001</v>
      </c>
      <c r="AK36" s="6">
        <v>0.01</v>
      </c>
      <c r="AL36" s="6">
        <v>0.29049999999999998</v>
      </c>
      <c r="AM36" s="7">
        <v>2732</v>
      </c>
    </row>
    <row r="37" spans="1:39" x14ac:dyDescent="0.25">
      <c r="A37" s="12" t="s">
        <v>61</v>
      </c>
      <c r="B37" s="12" t="s">
        <v>46</v>
      </c>
      <c r="C37" s="2" t="s">
        <v>71</v>
      </c>
      <c r="D37" s="2" t="s">
        <v>71</v>
      </c>
      <c r="E37" s="3">
        <v>0.97499999999999998</v>
      </c>
      <c r="F37" s="3">
        <v>7.0999999999999994E-2</v>
      </c>
      <c r="G37" s="3">
        <v>6.9000000000000006E-2</v>
      </c>
      <c r="H37" s="3">
        <v>0</v>
      </c>
      <c r="I37" s="4">
        <v>2</v>
      </c>
      <c r="J37" s="3">
        <v>-0.75</v>
      </c>
      <c r="K37" s="4">
        <v>67</v>
      </c>
      <c r="L37" s="4">
        <v>-3</v>
      </c>
      <c r="M37" s="4">
        <v>23338</v>
      </c>
      <c r="N37" s="4">
        <v>22371</v>
      </c>
      <c r="O37" s="4"/>
      <c r="P37" s="3">
        <v>4.2999999999999997E-2</v>
      </c>
      <c r="Q37" s="4">
        <v>1533</v>
      </c>
      <c r="R37" s="4">
        <v>3960</v>
      </c>
      <c r="S37" s="3">
        <v>-0.61299999999999999</v>
      </c>
      <c r="T37" s="4">
        <v>766.61</v>
      </c>
      <c r="U37" s="3">
        <v>0.54900000000000004</v>
      </c>
      <c r="V37" s="4">
        <v>20551</v>
      </c>
      <c r="W37" s="3">
        <v>8.9999999999999993E-3</v>
      </c>
      <c r="X37" s="3">
        <v>0</v>
      </c>
      <c r="Y37" s="3">
        <v>1.4330000000000001</v>
      </c>
      <c r="Z37" s="3">
        <v>1.395</v>
      </c>
      <c r="AA37" s="3">
        <v>1.248</v>
      </c>
      <c r="AB37" s="3">
        <v>0.14799999999999999</v>
      </c>
      <c r="AC37" s="3">
        <v>1.395</v>
      </c>
      <c r="AD37" s="3">
        <v>1.248</v>
      </c>
      <c r="AE37" s="3">
        <v>0.14799999999999999</v>
      </c>
      <c r="AF37" s="3">
        <v>0</v>
      </c>
      <c r="AG37" s="3">
        <v>0.378</v>
      </c>
      <c r="AH37" s="3">
        <v>-0.378</v>
      </c>
      <c r="AI37" s="3">
        <v>1.593</v>
      </c>
      <c r="AJ37" s="3">
        <v>1.4510000000000001</v>
      </c>
      <c r="AK37" s="3">
        <v>0.14199999999999999</v>
      </c>
      <c r="AL37" s="3">
        <v>1.7621</v>
      </c>
      <c r="AM37" s="4">
        <v>-15661</v>
      </c>
    </row>
    <row r="38" spans="1:39" x14ac:dyDescent="0.25">
      <c r="A38" s="12" t="s">
        <v>61</v>
      </c>
      <c r="B38" s="12" t="s">
        <v>46</v>
      </c>
      <c r="C38" s="2" t="s">
        <v>72</v>
      </c>
      <c r="D38" s="2" t="s">
        <v>72</v>
      </c>
      <c r="E38" s="3">
        <v>0.97799999999999998</v>
      </c>
      <c r="F38" s="3">
        <v>9.4E-2</v>
      </c>
      <c r="G38" s="3">
        <v>0.16400000000000001</v>
      </c>
      <c r="H38" s="3">
        <v>0.14499999999999999</v>
      </c>
      <c r="I38" s="4">
        <v>3</v>
      </c>
      <c r="J38" s="3">
        <v>2</v>
      </c>
      <c r="K38" s="4">
        <v>32</v>
      </c>
      <c r="L38" s="4">
        <v>0</v>
      </c>
      <c r="M38" s="4">
        <v>6367</v>
      </c>
      <c r="N38" s="4">
        <v>5575</v>
      </c>
      <c r="O38" s="4"/>
      <c r="P38" s="3">
        <v>0.14199999999999999</v>
      </c>
      <c r="Q38" s="4">
        <v>914</v>
      </c>
      <c r="R38" s="4">
        <v>185</v>
      </c>
      <c r="S38" s="3">
        <v>3.9279999999999999</v>
      </c>
      <c r="T38" s="4">
        <v>304.56</v>
      </c>
      <c r="U38" s="3">
        <v>0.64300000000000002</v>
      </c>
      <c r="V38" s="4">
        <v>4669</v>
      </c>
      <c r="W38" s="3">
        <v>9.4E-2</v>
      </c>
      <c r="X38" s="3">
        <v>1.9E-2</v>
      </c>
      <c r="Y38" s="3">
        <v>0.61599999999999999</v>
      </c>
      <c r="Z38" s="3">
        <v>0.62</v>
      </c>
      <c r="AA38" s="3">
        <v>0.69899999999999995</v>
      </c>
      <c r="AB38" s="3">
        <v>-7.9000000000000001E-2</v>
      </c>
      <c r="AC38" s="3">
        <v>0.62</v>
      </c>
      <c r="AD38" s="3">
        <v>0.69899999999999995</v>
      </c>
      <c r="AE38" s="3">
        <v>-7.9000000000000001E-2</v>
      </c>
      <c r="AF38" s="3">
        <v>6.2469999999999999</v>
      </c>
      <c r="AG38" s="3">
        <v>0</v>
      </c>
      <c r="AH38" s="3">
        <v>6.2469999999999999</v>
      </c>
      <c r="AI38" s="3">
        <v>0.86899999999999999</v>
      </c>
      <c r="AJ38" s="3">
        <v>0.94899999999999995</v>
      </c>
      <c r="AK38" s="3">
        <v>-0.08</v>
      </c>
      <c r="AL38" s="3">
        <v>1.1157999999999999</v>
      </c>
      <c r="AM38" s="4">
        <v>-540</v>
      </c>
    </row>
    <row r="39" spans="1:39" x14ac:dyDescent="0.25">
      <c r="A39" s="12" t="s">
        <v>61</v>
      </c>
      <c r="B39" s="12" t="s">
        <v>46</v>
      </c>
      <c r="C39" s="5" t="s">
        <v>42</v>
      </c>
      <c r="D39" s="5"/>
      <c r="E39" s="6">
        <v>0.97499999999999998</v>
      </c>
      <c r="F39" s="6">
        <v>7.8E-2</v>
      </c>
      <c r="G39" s="6">
        <v>8.7999999999999995E-2</v>
      </c>
      <c r="H39" s="6">
        <v>2.9000000000000001E-2</v>
      </c>
      <c r="I39" s="7">
        <v>5</v>
      </c>
      <c r="J39" s="6">
        <v>-0.44400000000000001</v>
      </c>
      <c r="K39" s="7">
        <v>99</v>
      </c>
      <c r="L39" s="7">
        <v>-3</v>
      </c>
      <c r="M39" s="7">
        <v>29705</v>
      </c>
      <c r="N39" s="7">
        <v>27946</v>
      </c>
      <c r="O39" s="7"/>
      <c r="P39" s="6">
        <v>6.3E-2</v>
      </c>
      <c r="Q39" s="7">
        <v>2447</v>
      </c>
      <c r="R39" s="7">
        <v>4145</v>
      </c>
      <c r="S39" s="6">
        <v>-0.41</v>
      </c>
      <c r="T39" s="7">
        <v>489.38</v>
      </c>
      <c r="U39" s="6">
        <v>6.3E-2</v>
      </c>
      <c r="V39" s="7">
        <v>25221</v>
      </c>
      <c r="W39" s="6">
        <v>2.4E-2</v>
      </c>
      <c r="X39" s="6">
        <v>4.0000000000000001E-3</v>
      </c>
      <c r="Y39" s="6">
        <v>1.2809999999999999</v>
      </c>
      <c r="Z39" s="6">
        <v>1.252</v>
      </c>
      <c r="AA39" s="6">
        <v>1.153</v>
      </c>
      <c r="AB39" s="6">
        <v>9.9000000000000005E-2</v>
      </c>
      <c r="AC39" s="6">
        <v>1.252</v>
      </c>
      <c r="AD39" s="6">
        <v>1.153</v>
      </c>
      <c r="AE39" s="6">
        <v>9.9000000000000005E-2</v>
      </c>
      <c r="AF39" s="6">
        <v>3.8460000000000001</v>
      </c>
      <c r="AG39" s="6">
        <v>0.35499999999999998</v>
      </c>
      <c r="AH39" s="6">
        <v>3.49</v>
      </c>
      <c r="AI39" s="6">
        <v>1.4590000000000001</v>
      </c>
      <c r="AJ39" s="6">
        <v>1.3640000000000001</v>
      </c>
      <c r="AK39" s="6">
        <v>9.5000000000000001E-2</v>
      </c>
      <c r="AL39" s="6">
        <v>1.6424000000000001</v>
      </c>
      <c r="AM39" s="7">
        <v>-16202</v>
      </c>
    </row>
    <row r="40" spans="1:39" ht="33.75" x14ac:dyDescent="0.25">
      <c r="A40" s="12" t="s">
        <v>61</v>
      </c>
      <c r="B40" s="12" t="s">
        <v>73</v>
      </c>
      <c r="C40" s="2" t="s">
        <v>73</v>
      </c>
      <c r="D40" s="2" t="s">
        <v>74</v>
      </c>
      <c r="E40" s="3">
        <v>0.56299999999999994</v>
      </c>
      <c r="F40" s="3">
        <v>0.111</v>
      </c>
      <c r="G40" s="3">
        <v>0.20699999999999999</v>
      </c>
      <c r="H40" s="3">
        <v>0</v>
      </c>
      <c r="I40" s="4">
        <v>1</v>
      </c>
      <c r="J40" s="3">
        <v>-0.5</v>
      </c>
      <c r="K40" s="4">
        <v>9</v>
      </c>
      <c r="L40" s="4">
        <v>0</v>
      </c>
      <c r="M40" s="4">
        <v>1342</v>
      </c>
      <c r="N40" s="4">
        <v>1744</v>
      </c>
      <c r="O40" s="4"/>
      <c r="P40" s="3">
        <v>-0.23</v>
      </c>
      <c r="Q40" s="4">
        <v>361</v>
      </c>
      <c r="R40" s="4">
        <v>402</v>
      </c>
      <c r="S40" s="3">
        <v>-0.10100000000000001</v>
      </c>
      <c r="T40" s="4">
        <v>361.2</v>
      </c>
      <c r="U40" s="3">
        <v>-5.3999999999999999E-2</v>
      </c>
      <c r="V40" s="4">
        <v>3009</v>
      </c>
      <c r="W40" s="3">
        <v>-0.19600000000000001</v>
      </c>
      <c r="X40" s="3">
        <v>0</v>
      </c>
      <c r="Y40" s="3">
        <v>0</v>
      </c>
      <c r="Z40" s="3">
        <v>1.9E-2</v>
      </c>
      <c r="AA40" s="3">
        <v>0.41899999999999998</v>
      </c>
      <c r="AB40" s="3">
        <v>-0.40100000000000002</v>
      </c>
      <c r="AC40" s="3">
        <v>1.9E-2</v>
      </c>
      <c r="AD40" s="3">
        <v>0.41899999999999998</v>
      </c>
      <c r="AE40" s="3">
        <v>-0.40100000000000002</v>
      </c>
      <c r="AF40" s="3">
        <v>0</v>
      </c>
      <c r="AG40" s="3">
        <v>0</v>
      </c>
      <c r="AH40" s="3">
        <v>0</v>
      </c>
      <c r="AI40" s="3">
        <v>0.19400000000000001</v>
      </c>
      <c r="AJ40" s="3">
        <v>0.59399999999999997</v>
      </c>
      <c r="AK40" s="3">
        <v>-0.40100000000000002</v>
      </c>
      <c r="AL40" s="3">
        <v>0.30309999999999998</v>
      </c>
      <c r="AM40" s="4">
        <v>2097</v>
      </c>
    </row>
    <row r="41" spans="1:39" x14ac:dyDescent="0.25">
      <c r="A41" s="12" t="s">
        <v>61</v>
      </c>
      <c r="B41" s="12" t="s">
        <v>73</v>
      </c>
      <c r="C41" s="5" t="s">
        <v>42</v>
      </c>
      <c r="D41" s="5"/>
      <c r="E41" s="6">
        <v>0.56299999999999994</v>
      </c>
      <c r="F41" s="6">
        <v>0.111</v>
      </c>
      <c r="G41" s="6">
        <v>0.20699999999999999</v>
      </c>
      <c r="H41" s="6">
        <v>0</v>
      </c>
      <c r="I41" s="7">
        <v>1</v>
      </c>
      <c r="J41" s="6">
        <v>-0.5</v>
      </c>
      <c r="K41" s="7">
        <v>9</v>
      </c>
      <c r="L41" s="7">
        <v>0</v>
      </c>
      <c r="M41" s="7">
        <v>1342</v>
      </c>
      <c r="N41" s="7">
        <v>1744</v>
      </c>
      <c r="O41" s="7"/>
      <c r="P41" s="6">
        <v>-0.23</v>
      </c>
      <c r="Q41" s="7">
        <v>361</v>
      </c>
      <c r="R41" s="7">
        <v>402</v>
      </c>
      <c r="S41" s="6">
        <v>-0.10100000000000001</v>
      </c>
      <c r="T41" s="7">
        <v>361.2</v>
      </c>
      <c r="U41" s="6">
        <v>-5.3999999999999999E-2</v>
      </c>
      <c r="V41" s="7">
        <v>3009</v>
      </c>
      <c r="W41" s="6">
        <v>-0.19600000000000001</v>
      </c>
      <c r="X41" s="6">
        <v>0</v>
      </c>
      <c r="Y41" s="6">
        <v>0</v>
      </c>
      <c r="Z41" s="6">
        <v>1.9E-2</v>
      </c>
      <c r="AA41" s="6">
        <v>0.41899999999999998</v>
      </c>
      <c r="AB41" s="6">
        <v>-0.40100000000000002</v>
      </c>
      <c r="AC41" s="6">
        <v>1.9E-2</v>
      </c>
      <c r="AD41" s="6">
        <v>0.41899999999999998</v>
      </c>
      <c r="AE41" s="6">
        <v>-0.40100000000000002</v>
      </c>
      <c r="AF41" s="6">
        <v>0</v>
      </c>
      <c r="AG41" s="6">
        <v>0</v>
      </c>
      <c r="AH41" s="6">
        <v>0</v>
      </c>
      <c r="AI41" s="6">
        <v>0.19400000000000001</v>
      </c>
      <c r="AJ41" s="6">
        <v>0.59399999999999997</v>
      </c>
      <c r="AK41" s="6">
        <v>-0.40100000000000002</v>
      </c>
      <c r="AL41" s="6">
        <v>0.30309999999999998</v>
      </c>
      <c r="AM41" s="7">
        <v>2097</v>
      </c>
    </row>
    <row r="42" spans="1:39" x14ac:dyDescent="0.25">
      <c r="A42" s="12" t="s">
        <v>61</v>
      </c>
      <c r="B42" s="5" t="s">
        <v>42</v>
      </c>
      <c r="C42" s="5"/>
      <c r="D42" s="5"/>
      <c r="E42" s="6">
        <v>0.86799999999999999</v>
      </c>
      <c r="F42" s="6">
        <v>0.124</v>
      </c>
      <c r="G42" s="6">
        <v>0.161</v>
      </c>
      <c r="H42" s="6">
        <v>0.13100000000000001</v>
      </c>
      <c r="I42" s="7">
        <v>49</v>
      </c>
      <c r="J42" s="6">
        <v>-9.2999999999999999E-2</v>
      </c>
      <c r="K42" s="7">
        <v>380</v>
      </c>
      <c r="L42" s="7">
        <v>2</v>
      </c>
      <c r="M42" s="7">
        <v>129040</v>
      </c>
      <c r="N42" s="7">
        <v>125344</v>
      </c>
      <c r="O42" s="7"/>
      <c r="P42" s="6">
        <v>2.9000000000000001E-2</v>
      </c>
      <c r="Q42" s="7">
        <v>20237</v>
      </c>
      <c r="R42" s="7">
        <v>21629</v>
      </c>
      <c r="S42" s="6">
        <v>-6.4000000000000001E-2</v>
      </c>
      <c r="T42" s="7">
        <v>428.04</v>
      </c>
      <c r="U42" s="6">
        <v>1.7000000000000001E-2</v>
      </c>
      <c r="V42" s="7">
        <v>123529</v>
      </c>
      <c r="W42" s="6">
        <v>-4.3999999999999997E-2</v>
      </c>
      <c r="X42" s="6">
        <v>8.9999999999999993E-3</v>
      </c>
      <c r="Y42" s="6">
        <v>0.65400000000000003</v>
      </c>
      <c r="Z42" s="6">
        <v>0.72299999999999998</v>
      </c>
      <c r="AA42" s="6">
        <v>0.749</v>
      </c>
      <c r="AB42" s="6">
        <v>-2.7E-2</v>
      </c>
      <c r="AC42" s="6">
        <v>0.72299999999999998</v>
      </c>
      <c r="AD42" s="6">
        <v>0.749</v>
      </c>
      <c r="AE42" s="6">
        <v>-2.5999999999999999E-2</v>
      </c>
      <c r="AF42" s="6">
        <v>0.34200000000000003</v>
      </c>
      <c r="AG42" s="6">
        <v>2.1389999999999998</v>
      </c>
      <c r="AH42" s="6">
        <v>-1.7969999999999999</v>
      </c>
      <c r="AI42" s="6">
        <v>0.90200000000000002</v>
      </c>
      <c r="AJ42" s="6">
        <v>0.92500000000000004</v>
      </c>
      <c r="AK42" s="6">
        <v>-2.3E-2</v>
      </c>
      <c r="AL42" s="6">
        <v>1.0466</v>
      </c>
      <c r="AM42" s="7">
        <v>-5762</v>
      </c>
    </row>
    <row r="43" spans="1:39" x14ac:dyDescent="0.25">
      <c r="A43" s="2" t="s">
        <v>75</v>
      </c>
      <c r="B43" s="2" t="s">
        <v>75</v>
      </c>
      <c r="C43" s="2" t="s">
        <v>75</v>
      </c>
      <c r="D43" s="2" t="s">
        <v>75</v>
      </c>
      <c r="E43" s="6">
        <v>0.91300000000000003</v>
      </c>
      <c r="F43" s="6">
        <v>7.8E-2</v>
      </c>
      <c r="G43" s="6">
        <v>0.126</v>
      </c>
      <c r="H43" s="6">
        <v>9.0999999999999998E-2</v>
      </c>
      <c r="I43" s="7">
        <v>431</v>
      </c>
      <c r="J43" s="6">
        <v>0.30599999999999999</v>
      </c>
      <c r="K43" s="7">
        <v>4292</v>
      </c>
      <c r="L43" s="7">
        <v>106</v>
      </c>
      <c r="M43" s="7">
        <v>906796</v>
      </c>
      <c r="N43" s="7">
        <v>872519</v>
      </c>
      <c r="O43" s="7"/>
      <c r="P43" s="6">
        <v>3.9E-2</v>
      </c>
      <c r="Q43" s="7">
        <v>109951</v>
      </c>
      <c r="R43" s="7">
        <v>103969</v>
      </c>
      <c r="S43" s="6">
        <v>5.8000000000000003E-2</v>
      </c>
      <c r="T43" s="7">
        <v>264.83</v>
      </c>
      <c r="U43" s="6">
        <v>-0.20599999999999999</v>
      </c>
      <c r="V43" s="7">
        <v>818362</v>
      </c>
      <c r="W43" s="6">
        <v>1.4999999999999999E-2</v>
      </c>
      <c r="X43" s="6">
        <v>1.4E-2</v>
      </c>
      <c r="Y43" s="6">
        <v>0.69799999999999995</v>
      </c>
      <c r="Z43" s="6">
        <v>0.72499999999999998</v>
      </c>
      <c r="AA43" s="6">
        <v>0.621</v>
      </c>
      <c r="AB43" s="6">
        <v>0.104</v>
      </c>
      <c r="AC43" s="6">
        <v>0.72499999999999998</v>
      </c>
      <c r="AD43" s="6">
        <v>0.621</v>
      </c>
      <c r="AE43" s="6">
        <v>0.104</v>
      </c>
      <c r="AF43" s="6">
        <v>0.64900000000000002</v>
      </c>
      <c r="AG43" s="6">
        <v>0.91900000000000004</v>
      </c>
      <c r="AH43" s="6">
        <v>-0.27</v>
      </c>
      <c r="AI43" s="6">
        <v>0.84699999999999998</v>
      </c>
      <c r="AJ43" s="6">
        <v>0.74299999999999999</v>
      </c>
      <c r="AK43" s="6">
        <v>0.104</v>
      </c>
      <c r="AL43" s="6">
        <v>1.0149999999999999</v>
      </c>
      <c r="AM43" s="7">
        <v>-12304</v>
      </c>
    </row>
    <row r="45" spans="1:39" x14ac:dyDescent="0.25">
      <c r="A45" t="s">
        <v>76</v>
      </c>
      <c r="B45" t="s">
        <v>76</v>
      </c>
      <c r="C45" t="s">
        <v>76</v>
      </c>
    </row>
    <row r="46" spans="1:39" x14ac:dyDescent="0.25">
      <c r="A46" s="9" t="s">
        <v>112</v>
      </c>
      <c r="B46" s="9" t="s">
        <v>114</v>
      </c>
    </row>
  </sheetData>
  <mergeCells count="18">
    <mergeCell ref="B30:B32"/>
    <mergeCell ref="B33:B34"/>
    <mergeCell ref="B40:B41"/>
    <mergeCell ref="C19:C20"/>
    <mergeCell ref="A4:AM4"/>
    <mergeCell ref="A5:AM5"/>
    <mergeCell ref="A7:A25"/>
    <mergeCell ref="A26:A42"/>
    <mergeCell ref="B7:B9"/>
    <mergeCell ref="B10:B11"/>
    <mergeCell ref="B12:B13"/>
    <mergeCell ref="B14:B15"/>
    <mergeCell ref="B35:B36"/>
    <mergeCell ref="B37:B39"/>
    <mergeCell ref="B16:B22"/>
    <mergeCell ref="B23:B24"/>
    <mergeCell ref="B26:B27"/>
    <mergeCell ref="B28:B29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C12E-B6ED-40EA-AE81-DF1E03B25527}">
  <dimension ref="A4:AM46"/>
  <sheetViews>
    <sheetView tabSelected="1" topLeftCell="A23" workbookViewId="0">
      <selection activeCell="O12" sqref="O12"/>
    </sheetView>
  </sheetViews>
  <sheetFormatPr baseColWidth="10" defaultRowHeight="15" x14ac:dyDescent="0.25"/>
  <sheetData>
    <row r="4" spans="1:39" ht="20.25" x14ac:dyDescent="0.25">
      <c r="A4" s="10" t="s">
        <v>113</v>
      </c>
      <c r="B4" s="10" t="s">
        <v>113</v>
      </c>
      <c r="C4" s="10" t="s">
        <v>113</v>
      </c>
      <c r="D4" s="10" t="s">
        <v>113</v>
      </c>
      <c r="E4" s="10" t="s">
        <v>113</v>
      </c>
      <c r="F4" s="10" t="s">
        <v>113</v>
      </c>
      <c r="G4" s="10" t="s">
        <v>113</v>
      </c>
      <c r="H4" s="10" t="s">
        <v>113</v>
      </c>
      <c r="I4" s="10" t="s">
        <v>113</v>
      </c>
      <c r="J4" s="10" t="s">
        <v>113</v>
      </c>
      <c r="K4" s="10" t="s">
        <v>113</v>
      </c>
      <c r="L4" s="10" t="s">
        <v>113</v>
      </c>
      <c r="M4" s="10" t="s">
        <v>113</v>
      </c>
      <c r="N4" s="10" t="s">
        <v>113</v>
      </c>
      <c r="O4" s="10"/>
      <c r="P4" s="10" t="s">
        <v>113</v>
      </c>
      <c r="Q4" s="10" t="s">
        <v>113</v>
      </c>
      <c r="R4" s="10" t="s">
        <v>113</v>
      </c>
      <c r="S4" s="10" t="s">
        <v>113</v>
      </c>
      <c r="T4" s="10" t="s">
        <v>113</v>
      </c>
      <c r="U4" s="10" t="s">
        <v>113</v>
      </c>
      <c r="V4" s="10" t="s">
        <v>113</v>
      </c>
      <c r="W4" s="10" t="s">
        <v>113</v>
      </c>
      <c r="X4" s="10" t="s">
        <v>113</v>
      </c>
      <c r="Y4" s="10" t="s">
        <v>113</v>
      </c>
      <c r="Z4" s="10" t="s">
        <v>113</v>
      </c>
      <c r="AA4" s="10" t="s">
        <v>113</v>
      </c>
      <c r="AB4" s="10" t="s">
        <v>113</v>
      </c>
      <c r="AC4" s="10" t="s">
        <v>113</v>
      </c>
      <c r="AD4" s="10" t="s">
        <v>113</v>
      </c>
      <c r="AE4" s="10" t="s">
        <v>113</v>
      </c>
      <c r="AF4" s="10" t="s">
        <v>113</v>
      </c>
      <c r="AG4" s="10" t="s">
        <v>113</v>
      </c>
      <c r="AH4" s="10" t="s">
        <v>113</v>
      </c>
      <c r="AI4" s="10" t="s">
        <v>113</v>
      </c>
      <c r="AJ4" s="10" t="s">
        <v>113</v>
      </c>
      <c r="AK4" s="10" t="s">
        <v>113</v>
      </c>
      <c r="AL4" s="10" t="s">
        <v>113</v>
      </c>
      <c r="AM4" s="10" t="s">
        <v>113</v>
      </c>
    </row>
    <row r="5" spans="1:39" x14ac:dyDescent="0.25">
      <c r="A5" s="11" t="s">
        <v>1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/>
      <c r="P5" s="11" t="s">
        <v>1</v>
      </c>
      <c r="Q5" s="11" t="s">
        <v>1</v>
      </c>
      <c r="R5" s="11" t="s">
        <v>1</v>
      </c>
      <c r="S5" s="11" t="s">
        <v>1</v>
      </c>
      <c r="T5" s="11" t="s">
        <v>1</v>
      </c>
      <c r="U5" s="11" t="s">
        <v>1</v>
      </c>
      <c r="V5" s="11" t="s">
        <v>1</v>
      </c>
      <c r="W5" s="11" t="s">
        <v>1</v>
      </c>
      <c r="X5" s="11" t="s">
        <v>1</v>
      </c>
      <c r="Y5" s="11" t="s">
        <v>1</v>
      </c>
      <c r="Z5" s="11" t="s">
        <v>1</v>
      </c>
      <c r="AA5" s="11" t="s">
        <v>1</v>
      </c>
      <c r="AB5" s="11" t="s">
        <v>1</v>
      </c>
      <c r="AC5" s="11" t="s">
        <v>1</v>
      </c>
      <c r="AD5" s="11" t="s">
        <v>1</v>
      </c>
      <c r="AE5" s="11" t="s">
        <v>1</v>
      </c>
      <c r="AF5" s="11" t="s">
        <v>1</v>
      </c>
      <c r="AG5" s="11" t="s">
        <v>1</v>
      </c>
      <c r="AH5" s="11" t="s">
        <v>1</v>
      </c>
      <c r="AI5" s="11" t="s">
        <v>1</v>
      </c>
      <c r="AJ5" s="11" t="s">
        <v>1</v>
      </c>
      <c r="AK5" s="11" t="s">
        <v>1</v>
      </c>
      <c r="AL5" s="11" t="s">
        <v>1</v>
      </c>
      <c r="AM5" s="11" t="s">
        <v>1</v>
      </c>
    </row>
    <row r="6" spans="1:39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92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27</v>
      </c>
      <c r="AF6" s="1" t="s">
        <v>30</v>
      </c>
      <c r="AG6" s="1" t="s">
        <v>31</v>
      </c>
      <c r="AH6" s="1" t="s">
        <v>27</v>
      </c>
      <c r="AI6" s="1" t="s">
        <v>32</v>
      </c>
      <c r="AJ6" s="1" t="s">
        <v>33</v>
      </c>
      <c r="AK6" s="1" t="s">
        <v>34</v>
      </c>
      <c r="AL6" s="1" t="s">
        <v>35</v>
      </c>
      <c r="AM6" s="1" t="s">
        <v>36</v>
      </c>
    </row>
    <row r="7" spans="1:39" x14ac:dyDescent="0.25">
      <c r="A7" s="12" t="s">
        <v>37</v>
      </c>
      <c r="B7" s="12" t="s">
        <v>38</v>
      </c>
      <c r="C7" s="2" t="s">
        <v>39</v>
      </c>
      <c r="D7" s="2" t="s">
        <v>40</v>
      </c>
      <c r="E7" s="3">
        <v>0.98599999999999999</v>
      </c>
      <c r="F7" s="3">
        <v>7.3999999999999996E-2</v>
      </c>
      <c r="G7" s="3">
        <v>0.158</v>
      </c>
      <c r="H7" s="3">
        <v>0</v>
      </c>
      <c r="I7" s="4">
        <v>7</v>
      </c>
      <c r="J7" s="8"/>
      <c r="K7" s="4">
        <v>32</v>
      </c>
      <c r="L7" s="4">
        <v>5</v>
      </c>
      <c r="M7" s="4">
        <v>5388</v>
      </c>
      <c r="N7" s="4">
        <v>4709</v>
      </c>
      <c r="O7" s="4"/>
      <c r="P7" s="3">
        <v>0.14399999999999999</v>
      </c>
      <c r="Q7" s="4">
        <v>744</v>
      </c>
      <c r="R7" s="4">
        <v>0</v>
      </c>
      <c r="S7" s="8"/>
      <c r="T7" s="4">
        <v>106.33</v>
      </c>
      <c r="U7" s="8"/>
      <c r="V7" s="4">
        <v>4576</v>
      </c>
      <c r="W7" s="3">
        <v>1.9E-2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8"/>
      <c r="AG7" s="8"/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4">
        <v>0</v>
      </c>
    </row>
    <row r="8" spans="1:39" x14ac:dyDescent="0.25">
      <c r="A8" s="12" t="s">
        <v>37</v>
      </c>
      <c r="B8" s="12" t="s">
        <v>38</v>
      </c>
      <c r="C8" s="2" t="s">
        <v>41</v>
      </c>
      <c r="D8" s="2" t="s">
        <v>41</v>
      </c>
      <c r="E8" s="3">
        <v>1.014</v>
      </c>
      <c r="F8" s="3">
        <v>0.02</v>
      </c>
      <c r="G8" s="3">
        <v>0</v>
      </c>
      <c r="H8" s="3">
        <v>0</v>
      </c>
      <c r="I8" s="4">
        <v>0</v>
      </c>
      <c r="J8" s="3">
        <v>-1</v>
      </c>
      <c r="K8" s="4">
        <v>48</v>
      </c>
      <c r="L8" s="4">
        <v>-1</v>
      </c>
      <c r="M8" s="4">
        <v>5820</v>
      </c>
      <c r="N8" s="4">
        <v>5741</v>
      </c>
      <c r="O8" s="4"/>
      <c r="P8" s="3">
        <v>1.4E-2</v>
      </c>
      <c r="Q8" s="4">
        <v>0</v>
      </c>
      <c r="R8" s="4">
        <v>332</v>
      </c>
      <c r="S8" s="3">
        <v>-1</v>
      </c>
      <c r="T8" s="8"/>
      <c r="U8" s="8"/>
      <c r="V8" s="4">
        <v>5733</v>
      </c>
      <c r="W8" s="3">
        <v>9.1999999999999998E-2</v>
      </c>
      <c r="X8" s="3">
        <v>7.0000000000000001E-3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8"/>
      <c r="AG8" s="8"/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4">
        <v>0</v>
      </c>
    </row>
    <row r="9" spans="1:39" x14ac:dyDescent="0.25">
      <c r="A9" s="12" t="s">
        <v>37</v>
      </c>
      <c r="B9" s="12" t="s">
        <v>38</v>
      </c>
      <c r="C9" s="5" t="s">
        <v>42</v>
      </c>
      <c r="D9" s="5"/>
      <c r="E9" s="6">
        <v>1.0009999999999999</v>
      </c>
      <c r="F9" s="6">
        <v>3.9E-2</v>
      </c>
      <c r="G9" s="6">
        <v>7.0999999999999994E-2</v>
      </c>
      <c r="H9" s="6">
        <v>0</v>
      </c>
      <c r="I9" s="7">
        <v>7</v>
      </c>
      <c r="J9" s="6">
        <v>2.5</v>
      </c>
      <c r="K9" s="7">
        <v>80</v>
      </c>
      <c r="L9" s="7">
        <v>4</v>
      </c>
      <c r="M9" s="7">
        <v>11208</v>
      </c>
      <c r="N9" s="7">
        <v>10449</v>
      </c>
      <c r="O9" s="7"/>
      <c r="P9" s="6">
        <v>7.2999999999999995E-2</v>
      </c>
      <c r="Q9" s="7">
        <v>744</v>
      </c>
      <c r="R9" s="7">
        <v>332</v>
      </c>
      <c r="S9" s="6">
        <v>1.244</v>
      </c>
      <c r="T9" s="7">
        <v>106.33</v>
      </c>
      <c r="U9" s="6">
        <v>-0.35899999999999999</v>
      </c>
      <c r="V9" s="7">
        <v>10309</v>
      </c>
      <c r="W9" s="6">
        <v>5.8000000000000003E-2</v>
      </c>
      <c r="X9" s="6">
        <v>4.0000000000000001E-3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5"/>
      <c r="AG9" s="5"/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7">
        <v>0</v>
      </c>
    </row>
    <row r="10" spans="1:39" x14ac:dyDescent="0.25">
      <c r="A10" s="12" t="s">
        <v>37</v>
      </c>
      <c r="B10" s="12" t="s">
        <v>43</v>
      </c>
      <c r="C10" s="2" t="s">
        <v>43</v>
      </c>
      <c r="D10" s="2" t="s">
        <v>44</v>
      </c>
      <c r="E10" s="3">
        <v>0.90700000000000003</v>
      </c>
      <c r="F10" s="3">
        <v>0.09</v>
      </c>
      <c r="G10" s="3">
        <v>0.128</v>
      </c>
      <c r="H10" s="3">
        <v>0</v>
      </c>
      <c r="I10" s="4">
        <v>327</v>
      </c>
      <c r="J10" s="3">
        <v>0.40300000000000002</v>
      </c>
      <c r="K10" s="4">
        <v>2734</v>
      </c>
      <c r="L10" s="4">
        <v>89</v>
      </c>
      <c r="M10" s="4">
        <v>685115</v>
      </c>
      <c r="N10" s="4">
        <v>661958</v>
      </c>
      <c r="O10" s="4"/>
      <c r="P10" s="3">
        <v>3.5000000000000003E-2</v>
      </c>
      <c r="Q10" s="4">
        <v>84731</v>
      </c>
      <c r="R10" s="4">
        <v>74979</v>
      </c>
      <c r="S10" s="3">
        <v>0.13</v>
      </c>
      <c r="T10" s="4">
        <v>262.95999999999998</v>
      </c>
      <c r="U10" s="3">
        <v>-0.22800000000000001</v>
      </c>
      <c r="V10" s="4">
        <v>627808</v>
      </c>
      <c r="W10" s="3">
        <v>1.7999999999999999E-2</v>
      </c>
      <c r="X10" s="3">
        <v>1.2E-2</v>
      </c>
      <c r="Y10" s="3">
        <v>0.76100000000000001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8"/>
      <c r="AG10" s="8"/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4">
        <v>0</v>
      </c>
    </row>
    <row r="11" spans="1:39" x14ac:dyDescent="0.25">
      <c r="A11" s="12" t="s">
        <v>37</v>
      </c>
      <c r="B11" s="12" t="s">
        <v>43</v>
      </c>
      <c r="C11" s="5" t="s">
        <v>42</v>
      </c>
      <c r="D11" s="5"/>
      <c r="E11" s="6">
        <v>0.90700000000000003</v>
      </c>
      <c r="F11" s="6">
        <v>0.09</v>
      </c>
      <c r="G11" s="6">
        <v>0.128</v>
      </c>
      <c r="H11" s="6">
        <v>0</v>
      </c>
      <c r="I11" s="7">
        <v>327</v>
      </c>
      <c r="J11" s="6">
        <v>0.40300000000000002</v>
      </c>
      <c r="K11" s="7">
        <v>2734</v>
      </c>
      <c r="L11" s="7">
        <v>89</v>
      </c>
      <c r="M11" s="7">
        <v>685115</v>
      </c>
      <c r="N11" s="7">
        <v>661958</v>
      </c>
      <c r="O11" s="7">
        <f>+M11-N11</f>
        <v>23157</v>
      </c>
      <c r="P11" s="6">
        <v>3.5000000000000003E-2</v>
      </c>
      <c r="Q11" s="7">
        <v>84731</v>
      </c>
      <c r="R11" s="7">
        <v>74979</v>
      </c>
      <c r="S11" s="6">
        <v>0.13</v>
      </c>
      <c r="T11" s="7">
        <v>262.95999999999998</v>
      </c>
      <c r="U11" s="6">
        <v>-0.22800000000000001</v>
      </c>
      <c r="V11" s="7">
        <v>627808</v>
      </c>
      <c r="W11" s="6">
        <v>1.7999999999999999E-2</v>
      </c>
      <c r="X11" s="6">
        <v>1.2E-2</v>
      </c>
      <c r="Y11" s="6">
        <v>0.76100000000000001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5"/>
      <c r="AG11" s="5"/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7">
        <v>0</v>
      </c>
    </row>
    <row r="12" spans="1:39" x14ac:dyDescent="0.25">
      <c r="A12" s="12" t="s">
        <v>37</v>
      </c>
      <c r="B12" s="12" t="s">
        <v>45</v>
      </c>
      <c r="C12" s="2" t="s">
        <v>45</v>
      </c>
      <c r="D12" s="2" t="s">
        <v>45</v>
      </c>
      <c r="E12" s="3">
        <v>0.92200000000000004</v>
      </c>
      <c r="F12" s="3">
        <v>6.7000000000000004E-2</v>
      </c>
      <c r="G12" s="3">
        <v>0.106</v>
      </c>
      <c r="H12" s="3">
        <v>0</v>
      </c>
      <c r="I12" s="4">
        <v>56</v>
      </c>
      <c r="J12" s="3">
        <v>-6.7000000000000004E-2</v>
      </c>
      <c r="K12" s="4">
        <v>798</v>
      </c>
      <c r="L12" s="4">
        <v>3</v>
      </c>
      <c r="M12" s="4">
        <v>108100</v>
      </c>
      <c r="N12" s="4">
        <v>105136</v>
      </c>
      <c r="O12" s="4"/>
      <c r="P12" s="3">
        <v>2.8000000000000001E-2</v>
      </c>
      <c r="Q12" s="4">
        <v>11161</v>
      </c>
      <c r="R12" s="4">
        <v>10528</v>
      </c>
      <c r="S12" s="3">
        <v>0.06</v>
      </c>
      <c r="T12" s="4">
        <v>199.3</v>
      </c>
      <c r="U12" s="3">
        <v>0.13600000000000001</v>
      </c>
      <c r="V12" s="4">
        <v>112782</v>
      </c>
      <c r="W12" s="3">
        <v>4.3999999999999997E-2</v>
      </c>
      <c r="X12" s="3">
        <v>7.0000000000000001E-3</v>
      </c>
      <c r="Y12" s="3">
        <v>0.53600000000000003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8"/>
      <c r="AG12" s="8"/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4">
        <v>0</v>
      </c>
    </row>
    <row r="13" spans="1:39" x14ac:dyDescent="0.25">
      <c r="A13" s="12" t="s">
        <v>37</v>
      </c>
      <c r="B13" s="12" t="s">
        <v>45</v>
      </c>
      <c r="C13" s="5" t="s">
        <v>42</v>
      </c>
      <c r="D13" s="5"/>
      <c r="E13" s="6">
        <v>0.92200000000000004</v>
      </c>
      <c r="F13" s="6">
        <v>6.7000000000000004E-2</v>
      </c>
      <c r="G13" s="6">
        <v>0.106</v>
      </c>
      <c r="H13" s="6">
        <v>0</v>
      </c>
      <c r="I13" s="7">
        <v>56</v>
      </c>
      <c r="J13" s="6">
        <v>-6.7000000000000004E-2</v>
      </c>
      <c r="K13" s="7">
        <v>798</v>
      </c>
      <c r="L13" s="7">
        <v>3</v>
      </c>
      <c r="M13" s="7">
        <v>108100</v>
      </c>
      <c r="N13" s="7">
        <v>105136</v>
      </c>
      <c r="O13" s="7"/>
      <c r="P13" s="6">
        <v>2.8000000000000001E-2</v>
      </c>
      <c r="Q13" s="7">
        <v>11161</v>
      </c>
      <c r="R13" s="7">
        <v>10528</v>
      </c>
      <c r="S13" s="6">
        <v>0.06</v>
      </c>
      <c r="T13" s="7">
        <v>199.3</v>
      </c>
      <c r="U13" s="6">
        <v>0.13600000000000001</v>
      </c>
      <c r="V13" s="7">
        <v>112782</v>
      </c>
      <c r="W13" s="6">
        <v>4.3999999999999997E-2</v>
      </c>
      <c r="X13" s="6">
        <v>7.0000000000000001E-3</v>
      </c>
      <c r="Y13" s="6">
        <v>0.53600000000000003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5"/>
      <c r="AG13" s="5"/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0</v>
      </c>
    </row>
    <row r="14" spans="1:39" ht="22.5" x14ac:dyDescent="0.25">
      <c r="A14" s="12" t="s">
        <v>37</v>
      </c>
      <c r="B14" s="12" t="s">
        <v>46</v>
      </c>
      <c r="C14" s="2" t="s">
        <v>47</v>
      </c>
      <c r="D14" s="2" t="s">
        <v>47</v>
      </c>
      <c r="E14" s="3">
        <v>1.02</v>
      </c>
      <c r="F14" s="3">
        <v>4.2000000000000003E-2</v>
      </c>
      <c r="G14" s="3">
        <v>6.9000000000000006E-2</v>
      </c>
      <c r="H14" s="3">
        <v>0</v>
      </c>
      <c r="I14" s="4">
        <v>2</v>
      </c>
      <c r="J14" s="3">
        <v>1</v>
      </c>
      <c r="K14" s="4">
        <v>25</v>
      </c>
      <c r="L14" s="4">
        <v>1</v>
      </c>
      <c r="M14" s="4">
        <v>10229</v>
      </c>
      <c r="N14" s="4">
        <v>9393</v>
      </c>
      <c r="O14" s="4"/>
      <c r="P14" s="3">
        <v>8.8999999999999996E-2</v>
      </c>
      <c r="Q14" s="4">
        <v>647</v>
      </c>
      <c r="R14" s="4">
        <v>1007</v>
      </c>
      <c r="S14" s="3">
        <v>-0.35699999999999998</v>
      </c>
      <c r="T14" s="4">
        <v>323.60000000000002</v>
      </c>
      <c r="U14" s="3">
        <v>-0.67900000000000005</v>
      </c>
      <c r="V14" s="4">
        <v>11643</v>
      </c>
      <c r="W14" s="3">
        <v>3.6999999999999998E-2</v>
      </c>
      <c r="X14" s="3">
        <v>0</v>
      </c>
      <c r="Y14" s="3">
        <v>1.2150000000000001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8"/>
      <c r="AG14" s="8"/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4">
        <v>0</v>
      </c>
    </row>
    <row r="15" spans="1:39" x14ac:dyDescent="0.25">
      <c r="A15" s="12" t="s">
        <v>37</v>
      </c>
      <c r="B15" s="12" t="s">
        <v>46</v>
      </c>
      <c r="C15" s="5" t="s">
        <v>42</v>
      </c>
      <c r="D15" s="5"/>
      <c r="E15" s="6">
        <v>1.02</v>
      </c>
      <c r="F15" s="6">
        <v>4.2000000000000003E-2</v>
      </c>
      <c r="G15" s="6">
        <v>6.9000000000000006E-2</v>
      </c>
      <c r="H15" s="6">
        <v>0</v>
      </c>
      <c r="I15" s="7">
        <v>2</v>
      </c>
      <c r="J15" s="6">
        <v>1</v>
      </c>
      <c r="K15" s="7">
        <v>25</v>
      </c>
      <c r="L15" s="7">
        <v>1</v>
      </c>
      <c r="M15" s="7">
        <v>10229</v>
      </c>
      <c r="N15" s="7">
        <v>9393</v>
      </c>
      <c r="O15" s="7"/>
      <c r="P15" s="6">
        <v>8.8999999999999996E-2</v>
      </c>
      <c r="Q15" s="7">
        <v>647</v>
      </c>
      <c r="R15" s="7">
        <v>1007</v>
      </c>
      <c r="S15" s="6">
        <v>-0.35699999999999998</v>
      </c>
      <c r="T15" s="7">
        <v>323.60000000000002</v>
      </c>
      <c r="U15" s="6">
        <v>-0.67900000000000005</v>
      </c>
      <c r="V15" s="7">
        <v>11643</v>
      </c>
      <c r="W15" s="6">
        <v>3.6999999999999998E-2</v>
      </c>
      <c r="X15" s="6">
        <v>0</v>
      </c>
      <c r="Y15" s="6">
        <v>1.2150000000000001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5"/>
      <c r="AG15" s="5"/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7">
        <v>0</v>
      </c>
    </row>
    <row r="16" spans="1:39" ht="22.5" x14ac:dyDescent="0.25">
      <c r="A16" s="12" t="s">
        <v>37</v>
      </c>
      <c r="B16" s="12" t="s">
        <v>48</v>
      </c>
      <c r="C16" s="2" t="s">
        <v>49</v>
      </c>
      <c r="D16" s="2" t="s">
        <v>50</v>
      </c>
      <c r="E16" s="3">
        <v>0</v>
      </c>
      <c r="F16" s="3">
        <v>10</v>
      </c>
      <c r="G16" s="3">
        <v>1.1439999999999999</v>
      </c>
      <c r="H16" s="3">
        <v>0</v>
      </c>
      <c r="I16" s="4">
        <v>13</v>
      </c>
      <c r="J16" s="3">
        <v>0.85699999999999998</v>
      </c>
      <c r="K16" s="4">
        <v>4</v>
      </c>
      <c r="L16" s="4">
        <v>3</v>
      </c>
      <c r="M16" s="4">
        <v>1444</v>
      </c>
      <c r="N16" s="4">
        <v>1262</v>
      </c>
      <c r="O16" s="4"/>
      <c r="P16" s="3">
        <v>0.14399999999999999</v>
      </c>
      <c r="Q16" s="4">
        <v>1444</v>
      </c>
      <c r="R16" s="4">
        <v>1262</v>
      </c>
      <c r="S16" s="3">
        <v>0.14399999999999999</v>
      </c>
      <c r="T16" s="4">
        <v>2928.33</v>
      </c>
      <c r="U16" s="3">
        <v>0.98299999999999998</v>
      </c>
      <c r="V16" s="4">
        <v>1137</v>
      </c>
      <c r="W16" s="3">
        <v>-0.122</v>
      </c>
      <c r="X16" s="3">
        <v>0</v>
      </c>
      <c r="Y16" s="3">
        <v>0.82199999999999995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8"/>
      <c r="AG16" s="8"/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4">
        <v>0</v>
      </c>
    </row>
    <row r="17" spans="1:39" x14ac:dyDescent="0.25">
      <c r="A17" s="12" t="s">
        <v>37</v>
      </c>
      <c r="B17" s="12" t="s">
        <v>48</v>
      </c>
      <c r="C17" s="2" t="s">
        <v>51</v>
      </c>
      <c r="D17" s="2" t="s">
        <v>52</v>
      </c>
      <c r="E17" s="3">
        <v>0.58499999999999996</v>
      </c>
      <c r="F17" s="3">
        <v>0.5</v>
      </c>
      <c r="G17" s="3">
        <v>1.165</v>
      </c>
      <c r="H17" s="3">
        <v>0</v>
      </c>
      <c r="I17" s="4">
        <v>2</v>
      </c>
      <c r="J17" s="3">
        <v>1</v>
      </c>
      <c r="K17" s="4">
        <v>6</v>
      </c>
      <c r="L17" s="4">
        <v>-2</v>
      </c>
      <c r="M17" s="4">
        <v>1710</v>
      </c>
      <c r="N17" s="4">
        <v>977</v>
      </c>
      <c r="O17" s="4"/>
      <c r="P17" s="3">
        <v>0.749</v>
      </c>
      <c r="Q17" s="4">
        <v>1138</v>
      </c>
      <c r="R17" s="4">
        <v>98</v>
      </c>
      <c r="S17" s="3">
        <v>10.587999999999999</v>
      </c>
      <c r="T17" s="4">
        <v>569.14</v>
      </c>
      <c r="U17" s="3">
        <v>4.7939999999999996</v>
      </c>
      <c r="V17" s="4">
        <v>641</v>
      </c>
      <c r="W17" s="3">
        <v>-9.6000000000000002E-2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8"/>
      <c r="AG17" s="8"/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4">
        <v>0</v>
      </c>
    </row>
    <row r="18" spans="1:39" x14ac:dyDescent="0.25">
      <c r="A18" s="12" t="s">
        <v>37</v>
      </c>
      <c r="B18" s="12" t="s">
        <v>48</v>
      </c>
      <c r="C18" s="2" t="s">
        <v>53</v>
      </c>
      <c r="D18" s="2" t="s">
        <v>54</v>
      </c>
      <c r="E18" s="3">
        <v>0.36</v>
      </c>
      <c r="F18" s="3">
        <v>8.3000000000000004E-2</v>
      </c>
      <c r="G18" s="3">
        <v>0</v>
      </c>
      <c r="H18" s="3">
        <v>0</v>
      </c>
      <c r="I18" s="4">
        <v>0</v>
      </c>
      <c r="J18" s="8"/>
      <c r="K18" s="4">
        <v>11</v>
      </c>
      <c r="L18" s="4">
        <v>-1</v>
      </c>
      <c r="M18" s="4">
        <v>797</v>
      </c>
      <c r="N18" s="4">
        <v>2217</v>
      </c>
      <c r="O18" s="4"/>
      <c r="P18" s="3">
        <v>-0.64</v>
      </c>
      <c r="Q18" s="4">
        <v>0</v>
      </c>
      <c r="R18" s="4">
        <v>0</v>
      </c>
      <c r="S18" s="8"/>
      <c r="T18" s="8"/>
      <c r="U18" s="8"/>
      <c r="V18" s="4">
        <v>1906</v>
      </c>
      <c r="W18" s="3">
        <v>-0.114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8"/>
      <c r="AG18" s="8"/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4">
        <v>0</v>
      </c>
    </row>
    <row r="19" spans="1:39" x14ac:dyDescent="0.25">
      <c r="A19" s="12" t="s">
        <v>37</v>
      </c>
      <c r="B19" s="12" t="s">
        <v>48</v>
      </c>
      <c r="C19" s="12" t="s">
        <v>55</v>
      </c>
      <c r="D19" s="2" t="s">
        <v>56</v>
      </c>
      <c r="E19" s="3">
        <v>0.88800000000000001</v>
      </c>
      <c r="F19" s="3">
        <v>4.2000000000000003E-2</v>
      </c>
      <c r="G19" s="3">
        <v>8.5999999999999993E-2</v>
      </c>
      <c r="H19" s="3">
        <v>0</v>
      </c>
      <c r="I19" s="4">
        <v>4</v>
      </c>
      <c r="J19" s="3">
        <v>1</v>
      </c>
      <c r="K19" s="4">
        <v>117</v>
      </c>
      <c r="L19" s="4">
        <v>-1</v>
      </c>
      <c r="M19" s="4">
        <v>682</v>
      </c>
      <c r="N19" s="4">
        <v>700</v>
      </c>
      <c r="O19" s="4"/>
      <c r="P19" s="3">
        <v>-2.5999999999999999E-2</v>
      </c>
      <c r="Q19" s="4">
        <v>60</v>
      </c>
      <c r="R19" s="4">
        <v>30</v>
      </c>
      <c r="S19" s="3">
        <v>1.008</v>
      </c>
      <c r="T19" s="4">
        <v>15.01</v>
      </c>
      <c r="U19" s="3">
        <v>4.0000000000000001E-3</v>
      </c>
      <c r="V19" s="4">
        <v>1494</v>
      </c>
      <c r="W19" s="3">
        <v>-1.9E-2</v>
      </c>
      <c r="X19" s="3">
        <v>1.7000000000000001E-2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8"/>
      <c r="AG19" s="8"/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4">
        <v>0</v>
      </c>
    </row>
    <row r="20" spans="1:39" x14ac:dyDescent="0.25">
      <c r="A20" s="12" t="s">
        <v>37</v>
      </c>
      <c r="B20" s="12" t="s">
        <v>48</v>
      </c>
      <c r="C20" s="12" t="s">
        <v>55</v>
      </c>
      <c r="D20" s="2" t="s">
        <v>57</v>
      </c>
      <c r="E20" s="3">
        <v>0.93799999999999994</v>
      </c>
      <c r="F20" s="3">
        <v>0.128</v>
      </c>
      <c r="G20" s="3">
        <v>0.20399999999999999</v>
      </c>
      <c r="H20" s="3">
        <v>0</v>
      </c>
      <c r="I20" s="4">
        <v>10</v>
      </c>
      <c r="J20" s="3">
        <v>1</v>
      </c>
      <c r="K20" s="4">
        <v>44</v>
      </c>
      <c r="L20" s="4">
        <v>5</v>
      </c>
      <c r="M20" s="4">
        <v>4784</v>
      </c>
      <c r="N20" s="4">
        <v>4189</v>
      </c>
      <c r="O20" s="4"/>
      <c r="P20" s="3">
        <v>0.14199999999999999</v>
      </c>
      <c r="Q20" s="4">
        <v>856</v>
      </c>
      <c r="R20" s="4">
        <v>275</v>
      </c>
      <c r="S20" s="3">
        <v>2.117</v>
      </c>
      <c r="T20" s="4">
        <v>85.59</v>
      </c>
      <c r="U20" s="3">
        <v>0.30399999999999999</v>
      </c>
      <c r="V20" s="4">
        <v>5321</v>
      </c>
      <c r="W20" s="3">
        <v>0.34799999999999998</v>
      </c>
      <c r="X20" s="3">
        <v>8.0000000000000002E-3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8"/>
      <c r="AG20" s="8"/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4">
        <v>0</v>
      </c>
    </row>
    <row r="21" spans="1:39" x14ac:dyDescent="0.25">
      <c r="A21" s="12" t="s">
        <v>37</v>
      </c>
      <c r="B21" s="12" t="s">
        <v>48</v>
      </c>
      <c r="C21" s="2" t="s">
        <v>58</v>
      </c>
      <c r="D21" s="2" t="s">
        <v>58</v>
      </c>
      <c r="E21" s="3">
        <v>0.81699999999999995</v>
      </c>
      <c r="F21" s="3">
        <v>0.1</v>
      </c>
      <c r="G21" s="3">
        <v>0</v>
      </c>
      <c r="H21" s="3">
        <v>0</v>
      </c>
      <c r="I21" s="4">
        <v>0</v>
      </c>
      <c r="J21" s="8"/>
      <c r="K21" s="4">
        <v>27</v>
      </c>
      <c r="L21" s="4">
        <v>-3</v>
      </c>
      <c r="M21" s="4">
        <v>1886</v>
      </c>
      <c r="N21" s="4">
        <v>2309</v>
      </c>
      <c r="O21" s="4"/>
      <c r="P21" s="3">
        <v>-0.183</v>
      </c>
      <c r="Q21" s="4">
        <v>0</v>
      </c>
      <c r="R21" s="4">
        <v>0</v>
      </c>
      <c r="S21" s="8"/>
      <c r="T21" s="8"/>
      <c r="U21" s="8"/>
      <c r="V21" s="4">
        <v>2058</v>
      </c>
      <c r="W21" s="3">
        <v>-0.12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8"/>
      <c r="AG21" s="8"/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4">
        <v>0</v>
      </c>
    </row>
    <row r="22" spans="1:39" x14ac:dyDescent="0.25">
      <c r="A22" s="12" t="s">
        <v>37</v>
      </c>
      <c r="B22" s="12" t="s">
        <v>48</v>
      </c>
      <c r="C22" s="5" t="s">
        <v>42</v>
      </c>
      <c r="D22" s="5"/>
      <c r="E22" s="6">
        <v>0.67</v>
      </c>
      <c r="F22" s="6">
        <v>0.13500000000000001</v>
      </c>
      <c r="G22" s="6">
        <v>0.3</v>
      </c>
      <c r="H22" s="6">
        <v>0</v>
      </c>
      <c r="I22" s="7">
        <v>29</v>
      </c>
      <c r="J22" s="6">
        <v>0.93300000000000005</v>
      </c>
      <c r="K22" s="7">
        <v>209</v>
      </c>
      <c r="L22" s="7">
        <v>1</v>
      </c>
      <c r="M22" s="7">
        <v>11303</v>
      </c>
      <c r="N22" s="7">
        <v>11653</v>
      </c>
      <c r="O22" s="7"/>
      <c r="P22" s="6">
        <v>-0.03</v>
      </c>
      <c r="Q22" s="7">
        <v>3498</v>
      </c>
      <c r="R22" s="7">
        <v>1665</v>
      </c>
      <c r="S22" s="6">
        <v>1.101</v>
      </c>
      <c r="T22" s="7">
        <v>212.11</v>
      </c>
      <c r="U22" s="6">
        <v>2.4E-2</v>
      </c>
      <c r="V22" s="7">
        <v>12558</v>
      </c>
      <c r="W22" s="6">
        <v>4.9000000000000002E-2</v>
      </c>
      <c r="X22" s="6">
        <v>5.0000000000000001E-3</v>
      </c>
      <c r="Y22" s="6">
        <v>7.3999999999999996E-2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5"/>
      <c r="AG22" s="5"/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7">
        <v>0</v>
      </c>
    </row>
    <row r="23" spans="1:39" x14ac:dyDescent="0.25">
      <c r="A23" s="12" t="s">
        <v>37</v>
      </c>
      <c r="B23" s="12" t="s">
        <v>59</v>
      </c>
      <c r="C23" s="2" t="s">
        <v>59</v>
      </c>
      <c r="D23" s="2" t="s">
        <v>60</v>
      </c>
      <c r="E23" s="3">
        <v>0.98099999999999998</v>
      </c>
      <c r="F23" s="3">
        <v>0.11700000000000001</v>
      </c>
      <c r="G23" s="3">
        <v>0.246</v>
      </c>
      <c r="H23" s="3">
        <v>0</v>
      </c>
      <c r="I23" s="4">
        <v>10</v>
      </c>
      <c r="J23" s="3">
        <v>0.66700000000000004</v>
      </c>
      <c r="K23" s="4">
        <v>63</v>
      </c>
      <c r="L23" s="4">
        <v>3</v>
      </c>
      <c r="M23" s="4">
        <v>22573</v>
      </c>
      <c r="N23" s="4">
        <v>18401</v>
      </c>
      <c r="O23" s="4"/>
      <c r="P23" s="3">
        <v>0.22700000000000001</v>
      </c>
      <c r="Q23" s="4">
        <v>4523</v>
      </c>
      <c r="R23" s="4">
        <v>3248</v>
      </c>
      <c r="S23" s="3">
        <v>0.39200000000000002</v>
      </c>
      <c r="T23" s="4">
        <v>452.26</v>
      </c>
      <c r="U23" s="3">
        <v>-0.16500000000000001</v>
      </c>
      <c r="V23" s="4">
        <v>21546</v>
      </c>
      <c r="W23" s="3">
        <v>0.16300000000000001</v>
      </c>
      <c r="X23" s="3">
        <v>0</v>
      </c>
      <c r="Y23" s="3">
        <v>0.38700000000000001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8"/>
      <c r="AG23" s="8"/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4">
        <v>0</v>
      </c>
    </row>
    <row r="24" spans="1:39" x14ac:dyDescent="0.25">
      <c r="A24" s="12" t="s">
        <v>37</v>
      </c>
      <c r="B24" s="12" t="s">
        <v>59</v>
      </c>
      <c r="C24" s="5" t="s">
        <v>42</v>
      </c>
      <c r="D24" s="5"/>
      <c r="E24" s="6">
        <v>0.98099999999999998</v>
      </c>
      <c r="F24" s="6">
        <v>0.11700000000000001</v>
      </c>
      <c r="G24" s="6">
        <v>0.246</v>
      </c>
      <c r="H24" s="6">
        <v>0</v>
      </c>
      <c r="I24" s="7">
        <v>10</v>
      </c>
      <c r="J24" s="6">
        <v>0.66700000000000004</v>
      </c>
      <c r="K24" s="7">
        <v>63</v>
      </c>
      <c r="L24" s="7">
        <v>3</v>
      </c>
      <c r="M24" s="7">
        <v>22573</v>
      </c>
      <c r="N24" s="7">
        <v>18401</v>
      </c>
      <c r="O24" s="7"/>
      <c r="P24" s="6">
        <v>0.22700000000000001</v>
      </c>
      <c r="Q24" s="7">
        <v>4523</v>
      </c>
      <c r="R24" s="7">
        <v>3248</v>
      </c>
      <c r="S24" s="6">
        <v>0.39200000000000002</v>
      </c>
      <c r="T24" s="7">
        <v>452.26</v>
      </c>
      <c r="U24" s="6">
        <v>-0.16500000000000001</v>
      </c>
      <c r="V24" s="7">
        <v>21546</v>
      </c>
      <c r="W24" s="6">
        <v>0.16300000000000001</v>
      </c>
      <c r="X24" s="6">
        <v>0</v>
      </c>
      <c r="Y24" s="6">
        <v>0.38700000000000001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5"/>
      <c r="AG24" s="5"/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7">
        <v>0</v>
      </c>
    </row>
    <row r="25" spans="1:39" x14ac:dyDescent="0.25">
      <c r="A25" s="12" t="s">
        <v>37</v>
      </c>
      <c r="B25" s="5" t="s">
        <v>42</v>
      </c>
      <c r="C25" s="5"/>
      <c r="D25" s="5"/>
      <c r="E25" s="6">
        <v>0.91</v>
      </c>
      <c r="F25" s="6">
        <v>8.6999999999999994E-2</v>
      </c>
      <c r="G25" s="6">
        <v>0.129</v>
      </c>
      <c r="H25" s="6">
        <v>0</v>
      </c>
      <c r="I25" s="7">
        <v>431</v>
      </c>
      <c r="J25" s="6">
        <v>0.36</v>
      </c>
      <c r="K25" s="7">
        <v>3909</v>
      </c>
      <c r="L25" s="7">
        <v>101</v>
      </c>
      <c r="M25" s="7">
        <v>848528</v>
      </c>
      <c r="N25" s="7">
        <v>816990</v>
      </c>
      <c r="O25" s="7"/>
      <c r="P25" s="6">
        <v>3.9E-2</v>
      </c>
      <c r="Q25" s="7">
        <v>105304</v>
      </c>
      <c r="R25" s="7">
        <v>91759</v>
      </c>
      <c r="S25" s="6">
        <v>0.14799999999999999</v>
      </c>
      <c r="T25" s="7">
        <v>254.53</v>
      </c>
      <c r="U25" s="6">
        <v>-0.17599999999999999</v>
      </c>
      <c r="V25" s="7">
        <v>796645</v>
      </c>
      <c r="W25" s="6">
        <v>2.7E-2</v>
      </c>
      <c r="X25" s="6">
        <v>1.0999999999999999E-2</v>
      </c>
      <c r="Y25" s="6">
        <v>0.70499999999999996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5"/>
      <c r="AG25" s="5"/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7">
        <v>0</v>
      </c>
    </row>
    <row r="26" spans="1:39" x14ac:dyDescent="0.25">
      <c r="A26" s="12" t="s">
        <v>61</v>
      </c>
      <c r="B26" s="12" t="s">
        <v>39</v>
      </c>
      <c r="C26" s="2" t="s">
        <v>39</v>
      </c>
      <c r="D26" s="2" t="s">
        <v>62</v>
      </c>
      <c r="E26" s="3">
        <v>1.403</v>
      </c>
      <c r="F26" s="3">
        <v>0.10199999999999999</v>
      </c>
      <c r="G26" s="3">
        <v>0.33600000000000002</v>
      </c>
      <c r="H26" s="3">
        <v>0</v>
      </c>
      <c r="I26" s="4">
        <v>13</v>
      </c>
      <c r="J26" s="3">
        <v>1.167</v>
      </c>
      <c r="K26" s="4">
        <v>92</v>
      </c>
      <c r="L26" s="4">
        <v>4</v>
      </c>
      <c r="M26" s="4">
        <v>9545</v>
      </c>
      <c r="N26" s="4">
        <v>5489</v>
      </c>
      <c r="O26" s="4"/>
      <c r="P26" s="3">
        <v>0.73899999999999999</v>
      </c>
      <c r="Q26" s="4">
        <v>1845</v>
      </c>
      <c r="R26" s="4">
        <v>764</v>
      </c>
      <c r="S26" s="3">
        <v>1.415</v>
      </c>
      <c r="T26" s="4">
        <v>166.66</v>
      </c>
      <c r="U26" s="3">
        <v>0.13100000000000001</v>
      </c>
      <c r="V26" s="4">
        <v>8674</v>
      </c>
      <c r="W26" s="3">
        <v>0.26900000000000002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8"/>
      <c r="AG26" s="8"/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4">
        <v>0</v>
      </c>
    </row>
    <row r="27" spans="1:39" x14ac:dyDescent="0.25">
      <c r="A27" s="12" t="s">
        <v>61</v>
      </c>
      <c r="B27" s="12" t="s">
        <v>39</v>
      </c>
      <c r="C27" s="5" t="s">
        <v>42</v>
      </c>
      <c r="D27" s="5"/>
      <c r="E27" s="6">
        <v>1.403</v>
      </c>
      <c r="F27" s="6">
        <v>0.10199999999999999</v>
      </c>
      <c r="G27" s="6">
        <v>0.33600000000000002</v>
      </c>
      <c r="H27" s="6">
        <v>0</v>
      </c>
      <c r="I27" s="7">
        <v>13</v>
      </c>
      <c r="J27" s="6">
        <v>1.167</v>
      </c>
      <c r="K27" s="7">
        <v>92</v>
      </c>
      <c r="L27" s="7">
        <v>4</v>
      </c>
      <c r="M27" s="7">
        <v>9545</v>
      </c>
      <c r="N27" s="7">
        <v>5489</v>
      </c>
      <c r="O27" s="7"/>
      <c r="P27" s="6">
        <v>0.73899999999999999</v>
      </c>
      <c r="Q27" s="7">
        <v>1845</v>
      </c>
      <c r="R27" s="7">
        <v>764</v>
      </c>
      <c r="S27" s="6">
        <v>1.415</v>
      </c>
      <c r="T27" s="7">
        <v>166.66</v>
      </c>
      <c r="U27" s="6">
        <v>0.13100000000000001</v>
      </c>
      <c r="V27" s="7">
        <v>8674</v>
      </c>
      <c r="W27" s="6">
        <v>0.26900000000000002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5"/>
      <c r="AG27" s="5"/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7">
        <v>0</v>
      </c>
    </row>
    <row r="28" spans="1:39" x14ac:dyDescent="0.25">
      <c r="A28" s="12" t="s">
        <v>61</v>
      </c>
      <c r="B28" s="12" t="s">
        <v>43</v>
      </c>
      <c r="C28" s="2" t="s">
        <v>43</v>
      </c>
      <c r="D28" s="2" t="s">
        <v>63</v>
      </c>
      <c r="E28" s="3">
        <v>-0.27700000000000002</v>
      </c>
      <c r="F28" s="3">
        <v>0.27400000000000002</v>
      </c>
      <c r="G28" s="3">
        <v>1.081</v>
      </c>
      <c r="H28" s="3">
        <v>0</v>
      </c>
      <c r="I28" s="4">
        <v>23</v>
      </c>
      <c r="J28" s="3">
        <v>-0.115</v>
      </c>
      <c r="K28" s="4">
        <v>68</v>
      </c>
      <c r="L28" s="4">
        <v>6</v>
      </c>
      <c r="M28" s="4">
        <v>8942</v>
      </c>
      <c r="N28" s="4">
        <v>11118</v>
      </c>
      <c r="O28" s="4"/>
      <c r="P28" s="3">
        <v>-0.19600000000000001</v>
      </c>
      <c r="Q28" s="4">
        <v>12017</v>
      </c>
      <c r="R28" s="4">
        <v>9088</v>
      </c>
      <c r="S28" s="3">
        <v>0.32200000000000001</v>
      </c>
      <c r="T28" s="4">
        <v>517.73</v>
      </c>
      <c r="U28" s="3">
        <v>0.48799999999999999</v>
      </c>
      <c r="V28" s="4">
        <v>20634</v>
      </c>
      <c r="W28" s="3">
        <v>-0.20200000000000001</v>
      </c>
      <c r="X28" s="3">
        <v>0</v>
      </c>
      <c r="Y28" s="3">
        <v>0.61299999999999999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8"/>
      <c r="AG28" s="8"/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4">
        <v>0</v>
      </c>
    </row>
    <row r="29" spans="1:39" x14ac:dyDescent="0.25">
      <c r="A29" s="12" t="s">
        <v>61</v>
      </c>
      <c r="B29" s="12" t="s">
        <v>43</v>
      </c>
      <c r="C29" s="5" t="s">
        <v>42</v>
      </c>
      <c r="D29" s="5"/>
      <c r="E29" s="6">
        <v>-0.27700000000000002</v>
      </c>
      <c r="F29" s="6">
        <v>0.27400000000000002</v>
      </c>
      <c r="G29" s="6">
        <v>1.081</v>
      </c>
      <c r="H29" s="6">
        <v>0</v>
      </c>
      <c r="I29" s="7">
        <v>23</v>
      </c>
      <c r="J29" s="6">
        <v>-0.115</v>
      </c>
      <c r="K29" s="7">
        <v>68</v>
      </c>
      <c r="L29" s="7">
        <v>6</v>
      </c>
      <c r="M29" s="7">
        <v>8942</v>
      </c>
      <c r="N29" s="7">
        <v>11118</v>
      </c>
      <c r="O29" s="7"/>
      <c r="P29" s="6">
        <v>-0.19600000000000001</v>
      </c>
      <c r="Q29" s="7">
        <v>12017</v>
      </c>
      <c r="R29" s="7">
        <v>9088</v>
      </c>
      <c r="S29" s="6">
        <v>0.32200000000000001</v>
      </c>
      <c r="T29" s="7">
        <v>517.73</v>
      </c>
      <c r="U29" s="6">
        <v>0.48799999999999999</v>
      </c>
      <c r="V29" s="7">
        <v>20634</v>
      </c>
      <c r="W29" s="6">
        <v>-0.20200000000000001</v>
      </c>
      <c r="X29" s="6">
        <v>0</v>
      </c>
      <c r="Y29" s="6">
        <v>0.61299999999999999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5"/>
      <c r="AG29" s="5"/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0</v>
      </c>
    </row>
    <row r="30" spans="1:39" x14ac:dyDescent="0.25">
      <c r="A30" s="12" t="s">
        <v>61</v>
      </c>
      <c r="B30" s="12" t="s">
        <v>64</v>
      </c>
      <c r="C30" s="2" t="s">
        <v>53</v>
      </c>
      <c r="D30" s="2" t="s">
        <v>104</v>
      </c>
      <c r="E30" s="3">
        <v>0</v>
      </c>
      <c r="F30" s="3">
        <v>1</v>
      </c>
      <c r="G30" s="3">
        <v>0</v>
      </c>
      <c r="H30" s="3">
        <v>0</v>
      </c>
      <c r="I30" s="4">
        <v>0</v>
      </c>
      <c r="J30" s="8"/>
      <c r="K30" s="4">
        <v>0</v>
      </c>
      <c r="L30" s="4">
        <v>-1</v>
      </c>
      <c r="M30" s="4">
        <v>0</v>
      </c>
      <c r="N30" s="4">
        <v>333</v>
      </c>
      <c r="O30" s="4"/>
      <c r="P30" s="3">
        <v>-1</v>
      </c>
      <c r="Q30" s="4">
        <v>0</v>
      </c>
      <c r="R30" s="4">
        <v>0</v>
      </c>
      <c r="S30" s="8"/>
      <c r="T30" s="8"/>
      <c r="U30" s="8"/>
      <c r="V30" s="4">
        <v>178</v>
      </c>
      <c r="W30" s="3">
        <v>-0.16600000000000001</v>
      </c>
      <c r="X30" s="8"/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8"/>
      <c r="AG30" s="8"/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4">
        <v>0</v>
      </c>
    </row>
    <row r="31" spans="1:39" x14ac:dyDescent="0.25">
      <c r="A31" s="12" t="s">
        <v>61</v>
      </c>
      <c r="B31" s="12" t="s">
        <v>64</v>
      </c>
      <c r="C31" s="2" t="s">
        <v>65</v>
      </c>
      <c r="D31" s="2" t="s">
        <v>65</v>
      </c>
      <c r="E31" s="3">
        <v>1.0309999999999999</v>
      </c>
      <c r="F31" s="3">
        <v>0.154</v>
      </c>
      <c r="G31" s="3">
        <v>7.2999999999999995E-2</v>
      </c>
      <c r="H31" s="3">
        <v>0</v>
      </c>
      <c r="I31" s="4">
        <v>5</v>
      </c>
      <c r="J31" s="3">
        <v>0</v>
      </c>
      <c r="K31" s="4">
        <v>49</v>
      </c>
      <c r="L31" s="4">
        <v>-3</v>
      </c>
      <c r="M31" s="4">
        <v>38257</v>
      </c>
      <c r="N31" s="4">
        <v>34637</v>
      </c>
      <c r="O31" s="4"/>
      <c r="P31" s="3">
        <v>0.105</v>
      </c>
      <c r="Q31" s="4">
        <v>2538</v>
      </c>
      <c r="R31" s="4">
        <v>4739</v>
      </c>
      <c r="S31" s="3">
        <v>-0.46500000000000002</v>
      </c>
      <c r="T31" s="4">
        <v>507.5</v>
      </c>
      <c r="U31" s="3">
        <v>-0.46500000000000002</v>
      </c>
      <c r="V31" s="4">
        <v>36632</v>
      </c>
      <c r="W31" s="3">
        <v>-6.6000000000000003E-2</v>
      </c>
      <c r="X31" s="3">
        <v>0.04</v>
      </c>
      <c r="Y31" s="3">
        <v>0.96299999999999997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8"/>
      <c r="AG31" s="8"/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4">
        <v>0</v>
      </c>
    </row>
    <row r="32" spans="1:39" x14ac:dyDescent="0.25">
      <c r="A32" s="12" t="s">
        <v>61</v>
      </c>
      <c r="B32" s="12" t="s">
        <v>64</v>
      </c>
      <c r="C32" s="5" t="s">
        <v>42</v>
      </c>
      <c r="D32" s="5"/>
      <c r="E32" s="6">
        <v>1.0209999999999999</v>
      </c>
      <c r="F32" s="6">
        <v>0.17</v>
      </c>
      <c r="G32" s="6">
        <v>7.2999999999999995E-2</v>
      </c>
      <c r="H32" s="6">
        <v>0</v>
      </c>
      <c r="I32" s="7">
        <v>5</v>
      </c>
      <c r="J32" s="6">
        <v>0</v>
      </c>
      <c r="K32" s="7">
        <v>49</v>
      </c>
      <c r="L32" s="7">
        <v>-4</v>
      </c>
      <c r="M32" s="7">
        <v>38257</v>
      </c>
      <c r="N32" s="7">
        <v>34971</v>
      </c>
      <c r="O32" s="7"/>
      <c r="P32" s="6">
        <v>9.4E-2</v>
      </c>
      <c r="Q32" s="7">
        <v>2538</v>
      </c>
      <c r="R32" s="7">
        <v>4739</v>
      </c>
      <c r="S32" s="6">
        <v>-0.46500000000000002</v>
      </c>
      <c r="T32" s="7">
        <v>507.5</v>
      </c>
      <c r="U32" s="6">
        <v>-0.46500000000000002</v>
      </c>
      <c r="V32" s="7">
        <v>36810</v>
      </c>
      <c r="W32" s="6">
        <v>-6.7000000000000004E-2</v>
      </c>
      <c r="X32" s="6">
        <v>0.04</v>
      </c>
      <c r="Y32" s="6">
        <v>0.95799999999999996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5"/>
      <c r="AG32" s="5"/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7">
        <v>0</v>
      </c>
    </row>
    <row r="33" spans="1:39" x14ac:dyDescent="0.25">
      <c r="A33" s="12" t="s">
        <v>61</v>
      </c>
      <c r="B33" s="12" t="s">
        <v>66</v>
      </c>
      <c r="C33" s="2" t="s">
        <v>55</v>
      </c>
      <c r="D33" s="2" t="s">
        <v>67</v>
      </c>
      <c r="E33" s="3">
        <v>0.92800000000000005</v>
      </c>
      <c r="F33" s="3">
        <v>0.06</v>
      </c>
      <c r="G33" s="3">
        <v>0.1</v>
      </c>
      <c r="H33" s="3">
        <v>0</v>
      </c>
      <c r="I33" s="4">
        <v>6</v>
      </c>
      <c r="J33" s="3">
        <v>0.2</v>
      </c>
      <c r="K33" s="4">
        <v>53</v>
      </c>
      <c r="L33" s="4">
        <v>3</v>
      </c>
      <c r="M33" s="4">
        <v>44519</v>
      </c>
      <c r="N33" s="4">
        <v>43306</v>
      </c>
      <c r="O33" s="4"/>
      <c r="P33" s="3">
        <v>2.8000000000000001E-2</v>
      </c>
      <c r="Q33" s="4">
        <v>4312</v>
      </c>
      <c r="R33" s="4">
        <v>2127</v>
      </c>
      <c r="S33" s="3">
        <v>1.0269999999999999</v>
      </c>
      <c r="T33" s="4">
        <v>718.73</v>
      </c>
      <c r="U33" s="3">
        <v>0.36099999999999999</v>
      </c>
      <c r="V33" s="4">
        <v>39181</v>
      </c>
      <c r="W33" s="3">
        <v>-7.0000000000000001E-3</v>
      </c>
      <c r="X33" s="3">
        <v>3.2000000000000001E-2</v>
      </c>
      <c r="Y33" s="3">
        <v>3.7999999999999999E-2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8"/>
      <c r="AG33" s="8"/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4">
        <v>0</v>
      </c>
    </row>
    <row r="34" spans="1:39" x14ac:dyDescent="0.25">
      <c r="A34" s="12" t="s">
        <v>61</v>
      </c>
      <c r="B34" s="12" t="s">
        <v>66</v>
      </c>
      <c r="C34" s="5" t="s">
        <v>42</v>
      </c>
      <c r="D34" s="5"/>
      <c r="E34" s="6">
        <v>0.92800000000000005</v>
      </c>
      <c r="F34" s="6">
        <v>0.06</v>
      </c>
      <c r="G34" s="6">
        <v>0.1</v>
      </c>
      <c r="H34" s="6">
        <v>0</v>
      </c>
      <c r="I34" s="7">
        <v>6</v>
      </c>
      <c r="J34" s="6">
        <v>0.2</v>
      </c>
      <c r="K34" s="7">
        <v>53</v>
      </c>
      <c r="L34" s="7">
        <v>3</v>
      </c>
      <c r="M34" s="7">
        <v>44519</v>
      </c>
      <c r="N34" s="7">
        <v>43306</v>
      </c>
      <c r="O34" s="7"/>
      <c r="P34" s="6">
        <v>2.8000000000000001E-2</v>
      </c>
      <c r="Q34" s="7">
        <v>4312</v>
      </c>
      <c r="R34" s="7">
        <v>2127</v>
      </c>
      <c r="S34" s="6">
        <v>1.0269999999999999</v>
      </c>
      <c r="T34" s="7">
        <v>718.73</v>
      </c>
      <c r="U34" s="6">
        <v>0.36099999999999999</v>
      </c>
      <c r="V34" s="7">
        <v>39181</v>
      </c>
      <c r="W34" s="6">
        <v>-7.0000000000000001E-3</v>
      </c>
      <c r="X34" s="6">
        <v>3.2000000000000001E-2</v>
      </c>
      <c r="Y34" s="6">
        <v>3.7999999999999999E-2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5"/>
      <c r="AG34" s="5"/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7">
        <v>0</v>
      </c>
    </row>
    <row r="35" spans="1:39" x14ac:dyDescent="0.25">
      <c r="A35" s="12" t="s">
        <v>61</v>
      </c>
      <c r="B35" s="12" t="s">
        <v>68</v>
      </c>
      <c r="C35" s="2" t="s">
        <v>69</v>
      </c>
      <c r="D35" s="2" t="s">
        <v>70</v>
      </c>
      <c r="E35" s="3">
        <v>0.95799999999999996</v>
      </c>
      <c r="F35" s="3">
        <v>0</v>
      </c>
      <c r="G35" s="3">
        <v>0</v>
      </c>
      <c r="H35" s="3">
        <v>0</v>
      </c>
      <c r="I35" s="4">
        <v>0</v>
      </c>
      <c r="J35" s="3">
        <v>-1</v>
      </c>
      <c r="K35" s="4">
        <v>14</v>
      </c>
      <c r="L35" s="4">
        <v>0</v>
      </c>
      <c r="M35" s="4">
        <v>5850</v>
      </c>
      <c r="N35" s="4">
        <v>6109</v>
      </c>
      <c r="O35" s="4"/>
      <c r="P35" s="3">
        <v>-4.2000000000000003E-2</v>
      </c>
      <c r="Q35" s="4">
        <v>0</v>
      </c>
      <c r="R35" s="4">
        <v>350</v>
      </c>
      <c r="S35" s="3">
        <v>-1</v>
      </c>
      <c r="T35" s="8"/>
      <c r="U35" s="8"/>
      <c r="V35" s="4">
        <v>4408</v>
      </c>
      <c r="W35" s="3">
        <v>-3.0000000000000001E-3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8"/>
      <c r="AG35" s="8"/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4">
        <v>0</v>
      </c>
    </row>
    <row r="36" spans="1:39" x14ac:dyDescent="0.25">
      <c r="A36" s="12" t="s">
        <v>61</v>
      </c>
      <c r="B36" s="12" t="s">
        <v>68</v>
      </c>
      <c r="C36" s="5" t="s">
        <v>42</v>
      </c>
      <c r="D36" s="5"/>
      <c r="E36" s="6">
        <v>0.95799999999999996</v>
      </c>
      <c r="F36" s="6">
        <v>0</v>
      </c>
      <c r="G36" s="6">
        <v>0</v>
      </c>
      <c r="H36" s="6">
        <v>0</v>
      </c>
      <c r="I36" s="7">
        <v>0</v>
      </c>
      <c r="J36" s="6">
        <v>-1</v>
      </c>
      <c r="K36" s="7">
        <v>14</v>
      </c>
      <c r="L36" s="7">
        <v>0</v>
      </c>
      <c r="M36" s="7">
        <v>5850</v>
      </c>
      <c r="N36" s="7">
        <v>6109</v>
      </c>
      <c r="O36" s="7"/>
      <c r="P36" s="6">
        <v>-4.2000000000000003E-2</v>
      </c>
      <c r="Q36" s="7">
        <v>0</v>
      </c>
      <c r="R36" s="7">
        <v>350</v>
      </c>
      <c r="S36" s="6">
        <v>-1</v>
      </c>
      <c r="T36" s="5"/>
      <c r="U36" s="5"/>
      <c r="V36" s="7">
        <v>4408</v>
      </c>
      <c r="W36" s="6">
        <v>-3.0000000000000001E-3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5"/>
      <c r="AG36" s="5"/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7">
        <v>0</v>
      </c>
    </row>
    <row r="37" spans="1:39" x14ac:dyDescent="0.25">
      <c r="A37" s="12" t="s">
        <v>61</v>
      </c>
      <c r="B37" s="12" t="s">
        <v>46</v>
      </c>
      <c r="C37" s="2" t="s">
        <v>71</v>
      </c>
      <c r="D37" s="2" t="s">
        <v>71</v>
      </c>
      <c r="E37" s="3">
        <v>0.97699999999999998</v>
      </c>
      <c r="F37" s="3">
        <v>7.0999999999999994E-2</v>
      </c>
      <c r="G37" s="3">
        <v>6.7000000000000004E-2</v>
      </c>
      <c r="H37" s="3">
        <v>0</v>
      </c>
      <c r="I37" s="4">
        <v>2</v>
      </c>
      <c r="J37" s="3">
        <v>-0.75</v>
      </c>
      <c r="K37" s="4">
        <v>67</v>
      </c>
      <c r="L37" s="4">
        <v>-3</v>
      </c>
      <c r="M37" s="4">
        <v>23723</v>
      </c>
      <c r="N37" s="4">
        <v>22731</v>
      </c>
      <c r="O37" s="4"/>
      <c r="P37" s="3">
        <v>4.3999999999999997E-2</v>
      </c>
      <c r="Q37" s="4">
        <v>1526</v>
      </c>
      <c r="R37" s="4">
        <v>3955</v>
      </c>
      <c r="S37" s="3">
        <v>-0.61399999999999999</v>
      </c>
      <c r="T37" s="4">
        <v>763</v>
      </c>
      <c r="U37" s="3">
        <v>0.54300000000000004</v>
      </c>
      <c r="V37" s="4">
        <v>23610</v>
      </c>
      <c r="W37" s="3">
        <v>7.0000000000000001E-3</v>
      </c>
      <c r="X37" s="3">
        <v>4.0000000000000001E-3</v>
      </c>
      <c r="Y37" s="3">
        <v>1.282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8"/>
      <c r="AG37" s="8"/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4">
        <v>0</v>
      </c>
    </row>
    <row r="38" spans="1:39" x14ac:dyDescent="0.25">
      <c r="A38" s="12" t="s">
        <v>61</v>
      </c>
      <c r="B38" s="12" t="s">
        <v>46</v>
      </c>
      <c r="C38" s="2" t="s">
        <v>72</v>
      </c>
      <c r="D38" s="2" t="s">
        <v>72</v>
      </c>
      <c r="E38" s="3">
        <v>0.95099999999999996</v>
      </c>
      <c r="F38" s="3">
        <v>0.125</v>
      </c>
      <c r="G38" s="3">
        <v>0.16400000000000001</v>
      </c>
      <c r="H38" s="3">
        <v>0</v>
      </c>
      <c r="I38" s="4">
        <v>3</v>
      </c>
      <c r="J38" s="3">
        <v>2</v>
      </c>
      <c r="K38" s="4">
        <v>31</v>
      </c>
      <c r="L38" s="4">
        <v>-1</v>
      </c>
      <c r="M38" s="4">
        <v>6219</v>
      </c>
      <c r="N38" s="4">
        <v>5577</v>
      </c>
      <c r="O38" s="4"/>
      <c r="P38" s="3">
        <v>0.115</v>
      </c>
      <c r="Q38" s="4">
        <v>914</v>
      </c>
      <c r="R38" s="4">
        <v>188</v>
      </c>
      <c r="S38" s="3">
        <v>3.863</v>
      </c>
      <c r="T38" s="4">
        <v>304.56</v>
      </c>
      <c r="U38" s="3">
        <v>0.621</v>
      </c>
      <c r="V38" s="4">
        <v>5342</v>
      </c>
      <c r="W38" s="3">
        <v>8.8999999999999996E-2</v>
      </c>
      <c r="X38" s="3">
        <v>0</v>
      </c>
      <c r="Y38" s="3">
        <v>0.53800000000000003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8"/>
      <c r="AG38" s="8"/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4">
        <v>0</v>
      </c>
    </row>
    <row r="39" spans="1:39" x14ac:dyDescent="0.25">
      <c r="A39" s="12" t="s">
        <v>61</v>
      </c>
      <c r="B39" s="12" t="s">
        <v>46</v>
      </c>
      <c r="C39" s="5" t="s">
        <v>42</v>
      </c>
      <c r="D39" s="5"/>
      <c r="E39" s="6">
        <v>0.97199999999999998</v>
      </c>
      <c r="F39" s="6">
        <v>8.7999999999999995E-2</v>
      </c>
      <c r="G39" s="6">
        <v>8.5999999999999993E-2</v>
      </c>
      <c r="H39" s="6">
        <v>0</v>
      </c>
      <c r="I39" s="7">
        <v>5</v>
      </c>
      <c r="J39" s="6">
        <v>-0.44400000000000001</v>
      </c>
      <c r="K39" s="7">
        <v>98</v>
      </c>
      <c r="L39" s="7">
        <v>-4</v>
      </c>
      <c r="M39" s="7">
        <v>29942</v>
      </c>
      <c r="N39" s="7">
        <v>28308</v>
      </c>
      <c r="O39" s="7"/>
      <c r="P39" s="6">
        <v>5.8000000000000003E-2</v>
      </c>
      <c r="Q39" s="7">
        <v>2440</v>
      </c>
      <c r="R39" s="7">
        <v>4143</v>
      </c>
      <c r="S39" s="6">
        <v>-0.41099999999999998</v>
      </c>
      <c r="T39" s="7">
        <v>487.94</v>
      </c>
      <c r="U39" s="6">
        <v>0.06</v>
      </c>
      <c r="V39" s="7">
        <v>28952</v>
      </c>
      <c r="W39" s="6">
        <v>2.1000000000000001E-2</v>
      </c>
      <c r="X39" s="6">
        <v>3.0000000000000001E-3</v>
      </c>
      <c r="Y39" s="6">
        <v>1.1439999999999999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5"/>
      <c r="AG39" s="5"/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7">
        <v>0</v>
      </c>
    </row>
    <row r="40" spans="1:39" ht="33.75" x14ac:dyDescent="0.25">
      <c r="A40" s="12" t="s">
        <v>61</v>
      </c>
      <c r="B40" s="12" t="s">
        <v>73</v>
      </c>
      <c r="C40" s="2" t="s">
        <v>73</v>
      </c>
      <c r="D40" s="2" t="s">
        <v>74</v>
      </c>
      <c r="E40" s="3">
        <v>0.72699999999999998</v>
      </c>
      <c r="F40" s="3">
        <v>0.222</v>
      </c>
      <c r="G40" s="3">
        <v>8.7999999999999995E-2</v>
      </c>
      <c r="H40" s="3">
        <v>0</v>
      </c>
      <c r="I40" s="4">
        <v>1</v>
      </c>
      <c r="J40" s="3">
        <v>-0.5</v>
      </c>
      <c r="K40" s="4">
        <v>8</v>
      </c>
      <c r="L40" s="4">
        <v>-1</v>
      </c>
      <c r="M40" s="4">
        <v>3332</v>
      </c>
      <c r="N40" s="4">
        <v>4085</v>
      </c>
      <c r="O40" s="4"/>
      <c r="P40" s="3">
        <v>-0.184</v>
      </c>
      <c r="Q40" s="4">
        <v>361</v>
      </c>
      <c r="R40" s="4">
        <v>406</v>
      </c>
      <c r="S40" s="3">
        <v>-0.11</v>
      </c>
      <c r="T40" s="4">
        <v>361.2</v>
      </c>
      <c r="U40" s="3">
        <v>-6.4000000000000001E-2</v>
      </c>
      <c r="V40" s="4">
        <v>3409</v>
      </c>
      <c r="W40" s="3">
        <v>-0.17899999999999999</v>
      </c>
      <c r="X40" s="3">
        <v>3.2000000000000001E-2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8"/>
      <c r="AG40" s="8"/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4">
        <v>0</v>
      </c>
    </row>
    <row r="41" spans="1:39" x14ac:dyDescent="0.25">
      <c r="A41" s="12" t="s">
        <v>61</v>
      </c>
      <c r="B41" s="12" t="s">
        <v>73</v>
      </c>
      <c r="C41" s="5" t="s">
        <v>42</v>
      </c>
      <c r="D41" s="5"/>
      <c r="E41" s="6">
        <v>0.72699999999999998</v>
      </c>
      <c r="F41" s="6">
        <v>0.222</v>
      </c>
      <c r="G41" s="6">
        <v>8.7999999999999995E-2</v>
      </c>
      <c r="H41" s="6">
        <v>0</v>
      </c>
      <c r="I41" s="7">
        <v>1</v>
      </c>
      <c r="J41" s="6">
        <v>-0.5</v>
      </c>
      <c r="K41" s="7">
        <v>8</v>
      </c>
      <c r="L41" s="7">
        <v>-1</v>
      </c>
      <c r="M41" s="7">
        <v>3332</v>
      </c>
      <c r="N41" s="7">
        <v>4085</v>
      </c>
      <c r="O41" s="7"/>
      <c r="P41" s="6">
        <v>-0.184</v>
      </c>
      <c r="Q41" s="7">
        <v>361</v>
      </c>
      <c r="R41" s="7">
        <v>406</v>
      </c>
      <c r="S41" s="6">
        <v>-0.11</v>
      </c>
      <c r="T41" s="7">
        <v>361.2</v>
      </c>
      <c r="U41" s="6">
        <v>-6.4000000000000001E-2</v>
      </c>
      <c r="V41" s="7">
        <v>3409</v>
      </c>
      <c r="W41" s="6">
        <v>-0.17899999999999999</v>
      </c>
      <c r="X41" s="6">
        <v>3.2000000000000001E-2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5"/>
      <c r="AG41" s="5"/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7">
        <v>0</v>
      </c>
    </row>
    <row r="42" spans="1:39" x14ac:dyDescent="0.25">
      <c r="A42" s="12" t="s">
        <v>61</v>
      </c>
      <c r="B42" s="5" t="s">
        <v>42</v>
      </c>
      <c r="C42" s="5"/>
      <c r="D42" s="5"/>
      <c r="E42" s="6">
        <v>0.876</v>
      </c>
      <c r="F42" s="6">
        <v>0.13</v>
      </c>
      <c r="G42" s="6">
        <v>0.17599999999999999</v>
      </c>
      <c r="H42" s="6">
        <v>0</v>
      </c>
      <c r="I42" s="7">
        <v>53</v>
      </c>
      <c r="J42" s="6">
        <v>-1.9E-2</v>
      </c>
      <c r="K42" s="7">
        <v>382</v>
      </c>
      <c r="L42" s="7">
        <v>4</v>
      </c>
      <c r="M42" s="7">
        <v>140387</v>
      </c>
      <c r="N42" s="7">
        <v>133386</v>
      </c>
      <c r="O42" s="7"/>
      <c r="P42" s="6">
        <v>5.1999999999999998E-2</v>
      </c>
      <c r="Q42" s="7">
        <v>23512</v>
      </c>
      <c r="R42" s="7">
        <v>21618</v>
      </c>
      <c r="S42" s="6">
        <v>8.7999999999999995E-2</v>
      </c>
      <c r="T42" s="7">
        <v>458.52</v>
      </c>
      <c r="U42" s="6">
        <v>0.09</v>
      </c>
      <c r="V42" s="7">
        <v>142069</v>
      </c>
      <c r="W42" s="6">
        <v>-4.2999999999999997E-2</v>
      </c>
      <c r="X42" s="6">
        <v>0.02</v>
      </c>
      <c r="Y42" s="6">
        <v>0.58099999999999996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5"/>
      <c r="AG42" s="5"/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7">
        <v>0</v>
      </c>
    </row>
    <row r="43" spans="1:39" x14ac:dyDescent="0.25">
      <c r="A43" s="2" t="s">
        <v>75</v>
      </c>
      <c r="B43" s="2" t="s">
        <v>75</v>
      </c>
      <c r="C43" s="2" t="s">
        <v>75</v>
      </c>
      <c r="D43" s="2" t="s">
        <v>75</v>
      </c>
      <c r="E43" s="6">
        <v>0.90500000000000003</v>
      </c>
      <c r="F43" s="6">
        <v>9.0999999999999998E-2</v>
      </c>
      <c r="G43" s="6">
        <v>0.13600000000000001</v>
      </c>
      <c r="H43" s="6">
        <v>0</v>
      </c>
      <c r="I43" s="7">
        <v>484</v>
      </c>
      <c r="J43" s="6">
        <v>0.30499999999999999</v>
      </c>
      <c r="K43" s="7">
        <v>4291</v>
      </c>
      <c r="L43" s="7">
        <v>105</v>
      </c>
      <c r="M43" s="7">
        <v>988915</v>
      </c>
      <c r="N43" s="7">
        <v>950376</v>
      </c>
      <c r="O43" s="7"/>
      <c r="P43" s="6">
        <v>4.1000000000000002E-2</v>
      </c>
      <c r="Q43" s="7">
        <v>128817</v>
      </c>
      <c r="R43" s="7">
        <v>113377</v>
      </c>
      <c r="S43" s="6">
        <v>0.13600000000000001</v>
      </c>
      <c r="T43" s="7">
        <v>277.02999999999997</v>
      </c>
      <c r="U43" s="6">
        <v>-0.14799999999999999</v>
      </c>
      <c r="V43" s="7">
        <v>938714</v>
      </c>
      <c r="W43" s="6">
        <v>1.4999999999999999E-2</v>
      </c>
      <c r="X43" s="6">
        <v>1.2E-2</v>
      </c>
      <c r="Y43" s="6">
        <v>0.68600000000000005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5"/>
      <c r="AG43" s="5"/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7">
        <v>0</v>
      </c>
    </row>
    <row r="45" spans="1:39" x14ac:dyDescent="0.25">
      <c r="A45" t="s">
        <v>76</v>
      </c>
      <c r="B45" t="s">
        <v>76</v>
      </c>
      <c r="C45" t="s">
        <v>76</v>
      </c>
    </row>
    <row r="46" spans="1:39" x14ac:dyDescent="0.25">
      <c r="A46" s="9" t="s">
        <v>112</v>
      </c>
      <c r="B46" s="9" t="s">
        <v>111</v>
      </c>
    </row>
  </sheetData>
  <mergeCells count="18">
    <mergeCell ref="B30:B32"/>
    <mergeCell ref="B33:B34"/>
    <mergeCell ref="B40:B41"/>
    <mergeCell ref="C19:C20"/>
    <mergeCell ref="A4:AM4"/>
    <mergeCell ref="A5:AM5"/>
    <mergeCell ref="A7:A25"/>
    <mergeCell ref="A26:A42"/>
    <mergeCell ref="B7:B9"/>
    <mergeCell ref="B10:B11"/>
    <mergeCell ref="B12:B13"/>
    <mergeCell ref="B14:B15"/>
    <mergeCell ref="B35:B36"/>
    <mergeCell ref="B37:B39"/>
    <mergeCell ref="B16:B22"/>
    <mergeCell ref="B23:B24"/>
    <mergeCell ref="B26:B27"/>
    <mergeCell ref="B28:B29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DICIEMBRE 2021</vt:lpstr>
      <vt:lpstr>DICIEMBRE COR 2021</vt:lpstr>
      <vt:lpstr>ENERO</vt:lpstr>
      <vt:lpstr>ENERO COR</vt:lpstr>
      <vt:lpstr>FEBRERO</vt:lpstr>
      <vt:lpstr>FEBRERO COR</vt:lpstr>
      <vt:lpstr>MARZO</vt:lpstr>
      <vt:lpstr>MARZO COR</vt:lpstr>
      <vt:lpstr>ABRIL</vt:lpstr>
      <vt:lpstr>ABRIL COR</vt:lpstr>
      <vt:lpstr>MAYO</vt:lpstr>
      <vt:lpstr>JUNIO</vt:lpstr>
      <vt:lpstr>MAYO COR</vt:lpstr>
      <vt:lpstr>JUNIO COR</vt:lpstr>
      <vt:lpstr>JULIO</vt:lpstr>
      <vt:lpstr>JULIO COR</vt:lpstr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Miguel Garcia Navarro</cp:lastModifiedBy>
  <dcterms:created xsi:type="dcterms:W3CDTF">2022-01-04T13:08:11Z</dcterms:created>
  <dcterms:modified xsi:type="dcterms:W3CDTF">2024-05-07T10:52:55Z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2022-09-02T06:41:20Z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cd30c287-3fc3-496c-89fd-97e50f66f4c1</vt:lpwstr>
  </property>
  <property fmtid="{D5CDD505-2E9C-101B-9397-08002B2CF9AE}" pid="8" name="MSIP_Label_432d5f8a-12aa-48f4-ac09-593b02e41a00_ContentBits">
    <vt:lpwstr>2</vt:lpwstr>
  </property>
</Properties>
</file>