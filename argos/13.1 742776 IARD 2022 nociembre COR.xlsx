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lGarciaNavarro\OneDrive - V3M Proyecto Asegurador, s.l.u\01. V3M\02. ADMINISTRACION AXA\02. ANALISIS MPA Y ARGOS\2022\01. ARGOS\"/>
    </mc:Choice>
  </mc:AlternateContent>
  <xr:revisionPtr revIDLastSave="0" documentId="8_{A796C5BA-9DBD-4011-AA6D-6D6CF7A05BB9}" xr6:coauthVersionLast="47" xr6:coauthVersionMax="47" xr10:uidLastSave="{00000000-0000-0000-0000-000000000000}"/>
  <bookViews>
    <workbookView xWindow="120" yWindow="75" windowWidth="28545" windowHeight="15375" xr2:uid="{00000000-000D-0000-FFFF-FFFF00000000}"/>
  </bookViews>
  <sheets>
    <sheet name="Medor 742776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8" l="1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7" i="8"/>
</calcChain>
</file>

<file path=xl/sharedStrings.xml><?xml version="1.0" encoding="utf-8"?>
<sst xmlns="http://schemas.openxmlformats.org/spreadsheetml/2006/main" count="253" uniqueCount="82">
  <si>
    <t xml:space="preserve"> </t>
  </si>
  <si>
    <t>Total a 202211</t>
  </si>
  <si>
    <t/>
  </si>
  <si>
    <t>Negocio</t>
  </si>
  <si>
    <t>Agrup ramo</t>
  </si>
  <si>
    <t>Ramo</t>
  </si>
  <si>
    <t>Subramo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</si>
  <si>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</si>
  <si>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</si>
  <si>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</si>
  <si>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</si>
  <si>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</si>
  <si>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</si>
  <si>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</si>
  <si>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</si>
  <si>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</si>
  <si>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</si>
  <si>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</si>
  <si>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</si>
  <si>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</si>
  <si>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</si>
  <si>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</si>
  <si>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</si>
  <si>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</si>
  <si>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</si>
  <si>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</si>
  <si>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</t>
  </si>
  <si>
    <t>Siniestralidad sin_IBNR</t>
  </si>
  <si>
    <t>SCCY</t>
  </si>
  <si>
    <t>SCCY Ant</t>
  </si>
  <si>
    <t>Dif.</t>
  </si>
  <si>
    <t>SCCY Leves</t>
  </si>
  <si>
    <t>SCCY Leves Ant</t>
  </si>
  <si>
    <t>SP NP</t>
  </si>
  <si>
    <t>SP Ant</t>
  </si>
  <si>
    <t>SCCY + C.Adq</t>
  </si>
  <si>
    <t>SCCY + C.Adq Ant.</t>
  </si>
  <si>
    <t>Dif</t>
  </si>
  <si>
    <t>COR</t>
  </si>
  <si>
    <t>Margen YTD</t>
  </si>
  <si>
    <t>PARTICULARES</t>
  </si>
  <si>
    <t>ACC+DEC</t>
  </si>
  <si>
    <t>ACCIDENTES</t>
  </si>
  <si>
    <t>ACCIND</t>
  </si>
  <si>
    <t>DECESOS</t>
  </si>
  <si>
    <t>Subtotal</t>
  </si>
  <si>
    <t>AUTO</t>
  </si>
  <si>
    <t>RESTO AUTO</t>
  </si>
  <si>
    <t>HOGAR</t>
  </si>
  <si>
    <t>RESTO MULTIS</t>
  </si>
  <si>
    <t>COMUNIDADES</t>
  </si>
  <si>
    <t>RESTO PARTICULARES</t>
  </si>
  <si>
    <t>ASIS</t>
  </si>
  <si>
    <t>OTROS RAMOS</t>
  </si>
  <si>
    <t>EMB. RECREO</t>
  </si>
  <si>
    <t>EMB RECREO</t>
  </si>
  <si>
    <t>INCENDIO</t>
  </si>
  <si>
    <t>INCRPART</t>
  </si>
  <si>
    <t>RCIVIL</t>
  </si>
  <si>
    <t>RCCAZA</t>
  </si>
  <si>
    <t>RCPAR</t>
  </si>
  <si>
    <t>VARIOS</t>
  </si>
  <si>
    <t>SALUD</t>
  </si>
  <si>
    <t>SALUDIND</t>
  </si>
  <si>
    <t>EMPRESAS</t>
  </si>
  <si>
    <t>ACCCOL</t>
  </si>
  <si>
    <t>FLOTAS</t>
  </si>
  <si>
    <t>DAÑOS</t>
  </si>
  <si>
    <t>INCRE</t>
  </si>
  <si>
    <t>INDUSTRIA</t>
  </si>
  <si>
    <t>RC</t>
  </si>
  <si>
    <t>RCEMP</t>
  </si>
  <si>
    <t>RESTO EMPRESAS</t>
  </si>
  <si>
    <t>INGENIERIA</t>
  </si>
  <si>
    <t>OTROS ING.</t>
  </si>
  <si>
    <t>COMERCIO</t>
  </si>
  <si>
    <t>OFICINAS</t>
  </si>
  <si>
    <t>TRANSPORTES</t>
  </si>
  <si>
    <t>RESTO TRANSPORTES</t>
  </si>
  <si>
    <t>Total general</t>
  </si>
  <si>
    <t>2022-12-20</t>
  </si>
  <si>
    <t>23:13:04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</si>
</sst>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b/>
      <sz val="16"/>
      <color indexed="56"/>
      <name val="Arial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6" fillId="2" borderId="0" xfId="0" applyFont="1" applyFill="1"/>
    <xf numFmtId="10" fontId="3" fillId="0" borderId="2" xfId="0" applyNumberFormat="1" applyFont="1" applyBorder="1"/>
    <xf numFmtId="4" fontId="3" fillId="0" borderId="2" xfId="0" applyNumberFormat="1" applyFont="1" applyBorder="1"/>
    <xf numFmtId="10" fontId="4" fillId="5" borderId="2" xfId="0" applyNumberFormat="1" applyFont="1" applyFill="1" applyBorder="1"/>
    <xf numFmtId="4" fontId="4" fillId="5" borderId="2" xfId="0" applyNumberFormat="1" applyFont="1" applyFill="1" applyBorder="1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2EF6602-07DE-4502-B98F-A8A5794C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3" name="Picture 1" descr="imgd3d1a56b62783524.jpg">
          <a:extLst>
            <a:ext uri="{FF2B5EF4-FFF2-40B4-BE49-F238E27FC236}">
              <a16:creationId xmlns:a16="http://schemas.microsoft.com/office/drawing/2014/main" id="{5EE806BB-4424-49E2-8141-FC35ABB29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AN46"/>
  <sheetViews>
    <sheetView tabSelected="1" topLeftCell="B4" workbookViewId="0">
      <selection activeCell="G34" sqref="G34"/>
    </sheetView>
  </sheetViews>
  <sheetFormatPr baseColWidth="10" defaultRowHeight="15" x14ac:dyDescent="0.25"/>
  <cols>
    <col min="1" max="1" width="12" bestFit="1" customWidth="1"/>
    <col min="2" max="2" width="17.42578125" bestFit="1" customWidth="1"/>
    <col min="3" max="3" width="11.7109375" bestFit="1" customWidth="1"/>
    <col min="4" max="4" width="17.140625" bestFit="1" customWidth="1"/>
    <col min="5" max="6" width="8" bestFit="1" customWidth="1"/>
    <col min="7" max="8" width="9.140625" bestFit="1" customWidth="1"/>
    <col min="9" max="9" width="10.42578125" bestFit="1" customWidth="1"/>
    <col min="10" max="10" width="5.7109375" bestFit="1" customWidth="1"/>
    <col min="11" max="11" width="8.85546875" bestFit="1" customWidth="1"/>
    <col min="12" max="12" width="7" bestFit="1" customWidth="1"/>
    <col min="13" max="13" width="8.5703125" bestFit="1" customWidth="1"/>
    <col min="14" max="15" width="10" bestFit="1" customWidth="1"/>
    <col min="16" max="16" width="8.42578125" bestFit="1" customWidth="1"/>
    <col min="17" max="17" width="7.7109375" bestFit="1" customWidth="1"/>
    <col min="18" max="19" width="8.7109375" bestFit="1" customWidth="1"/>
    <col min="20" max="20" width="11.5703125" bestFit="1" customWidth="1"/>
    <col min="21" max="21" width="7.140625" bestFit="1" customWidth="1"/>
    <col min="22" max="22" width="11.140625" bestFit="1" customWidth="1"/>
    <col min="23" max="23" width="10.140625" bestFit="1" customWidth="1"/>
    <col min="24" max="24" width="9.7109375" bestFit="1" customWidth="1"/>
    <col min="25" max="25" width="5.5703125" bestFit="1" customWidth="1"/>
    <col min="26" max="26" width="11.140625" bestFit="1" customWidth="1"/>
    <col min="27" max="27" width="7.140625" bestFit="1" customWidth="1"/>
    <col min="28" max="28" width="8.5703125" bestFit="1" customWidth="1"/>
    <col min="29" max="29" width="7.7109375" bestFit="1" customWidth="1"/>
    <col min="30" max="31" width="10.28515625" bestFit="1" customWidth="1"/>
    <col min="32" max="32" width="7.7109375" bestFit="1" customWidth="1"/>
    <col min="33" max="34" width="7.140625" bestFit="1" customWidth="1"/>
    <col min="35" max="35" width="7.7109375" bestFit="1" customWidth="1"/>
    <col min="36" max="37" width="11.5703125" bestFit="1" customWidth="1"/>
    <col min="38" max="38" width="7.7109375" bestFit="1" customWidth="1"/>
    <col min="39" max="39" width="7.140625" bestFit="1" customWidth="1"/>
    <col min="40" max="40" width="10.28515625" bestFit="1" customWidth="1"/>
  </cols>
  <sheetData>
    <row r="4" spans="1:40" x14ac:dyDescent="0.25">
      <c r="A4" s="11" t="s">
        <v>1</v>
      </c>
      <c r="B4" s="11" t="s">
        <v>1</v>
      </c>
      <c r="C4" s="11" t="s">
        <v>1</v>
      </c>
      <c r="D4" s="11" t="s">
        <v>1</v>
      </c>
      <c r="E4" s="11" t="s">
        <v>1</v>
      </c>
      <c r="F4" s="11" t="s">
        <v>1</v>
      </c>
      <c r="G4" s="11" t="s">
        <v>1</v>
      </c>
      <c r="H4" s="11" t="s">
        <v>1</v>
      </c>
      <c r="I4" s="11" t="s">
        <v>1</v>
      </c>
      <c r="J4" s="11" t="s">
        <v>1</v>
      </c>
      <c r="K4" s="11" t="s">
        <v>1</v>
      </c>
      <c r="L4" s="11" t="s">
        <v>1</v>
      </c>
      <c r="M4" s="11" t="s">
        <v>1</v>
      </c>
      <c r="N4" s="11" t="s">
        <v>1</v>
      </c>
      <c r="O4" s="11" t="s">
        <v>1</v>
      </c>
      <c r="P4" s="11" t="s">
        <v>1</v>
      </c>
      <c r="Q4" s="11" t="s">
        <v>1</v>
      </c>
      <c r="R4" s="11" t="s">
        <v>1</v>
      </c>
      <c r="S4" s="11" t="s">
        <v>1</v>
      </c>
      <c r="T4" s="11" t="s">
        <v>1</v>
      </c>
      <c r="U4" s="11" t="s">
        <v>1</v>
      </c>
      <c r="V4" s="11" t="s">
        <v>1</v>
      </c>
      <c r="W4" s="11" t="s">
        <v>1</v>
      </c>
      <c r="X4" s="11" t="s">
        <v>1</v>
      </c>
      <c r="Y4" s="11" t="s">
        <v>1</v>
      </c>
      <c r="Z4" s="11" t="s">
        <v>1</v>
      </c>
      <c r="AA4" s="11" t="s">
        <v>1</v>
      </c>
      <c r="AB4" s="11" t="s">
        <v>1</v>
      </c>
      <c r="AC4" s="11" t="s">
        <v>1</v>
      </c>
      <c r="AD4" s="11" t="s">
        <v>1</v>
      </c>
      <c r="AE4" s="11" t="s">
        <v>1</v>
      </c>
      <c r="AF4" s="11" t="s">
        <v>1</v>
      </c>
      <c r="AG4" s="11" t="s">
        <v>1</v>
      </c>
      <c r="AH4" s="11" t="s">
        <v>1</v>
      </c>
      <c r="AI4" s="11" t="s">
        <v>1</v>
      </c>
      <c r="AJ4" s="11" t="s">
        <v>1</v>
      </c>
      <c r="AK4" s="11" t="s">
        <v>1</v>
      </c>
      <c r="AL4" s="11" t="s">
        <v>1</v>
      </c>
      <c r="AM4" s="11" t="s">
        <v>1</v>
      </c>
    </row>
    <row r="5" spans="1:40" x14ac:dyDescent="0.25">
      <c r="A5" s="12" t="s">
        <v>2</v>
      </c>
      <c r="B5" s="12" t="s">
        <v>2</v>
      </c>
      <c r="C5" s="12" t="s">
        <v>2</v>
      </c>
      <c r="D5" s="12" t="s">
        <v>2</v>
      </c>
      <c r="E5" s="12" t="s">
        <v>2</v>
      </c>
      <c r="F5" s="12" t="s">
        <v>2</v>
      </c>
      <c r="G5" s="12" t="s">
        <v>2</v>
      </c>
      <c r="H5" s="12" t="s">
        <v>2</v>
      </c>
      <c r="I5" s="12" t="s">
        <v>2</v>
      </c>
      <c r="J5" s="12" t="s">
        <v>2</v>
      </c>
      <c r="K5" s="12" t="s">
        <v>2</v>
      </c>
      <c r="L5" s="12" t="s">
        <v>2</v>
      </c>
      <c r="M5" s="12" t="s">
        <v>2</v>
      </c>
      <c r="N5" s="12" t="s">
        <v>2</v>
      </c>
      <c r="O5" s="12" t="s">
        <v>2</v>
      </c>
      <c r="P5" s="12" t="s">
        <v>2</v>
      </c>
      <c r="Q5" s="12" t="s">
        <v>2</v>
      </c>
      <c r="R5" s="12" t="s">
        <v>2</v>
      </c>
      <c r="S5" s="12" t="s">
        <v>2</v>
      </c>
      <c r="T5" s="12" t="s">
        <v>2</v>
      </c>
      <c r="U5" s="12" t="s">
        <v>2</v>
      </c>
      <c r="V5" s="12" t="s">
        <v>2</v>
      </c>
      <c r="W5" s="12" t="s">
        <v>2</v>
      </c>
      <c r="X5" s="12" t="s">
        <v>2</v>
      </c>
      <c r="Y5" s="12" t="s">
        <v>2</v>
      </c>
      <c r="Z5" s="12" t="s">
        <v>2</v>
      </c>
      <c r="AA5" s="12" t="s">
        <v>2</v>
      </c>
      <c r="AB5" s="12" t="s">
        <v>2</v>
      </c>
      <c r="AC5" s="12" t="s">
        <v>2</v>
      </c>
      <c r="AD5" s="12" t="s">
        <v>2</v>
      </c>
      <c r="AE5" s="12" t="s">
        <v>2</v>
      </c>
      <c r="AF5" s="12" t="s">
        <v>2</v>
      </c>
      <c r="AG5" s="12" t="s">
        <v>2</v>
      </c>
      <c r="AH5" s="12" t="s">
        <v>2</v>
      </c>
      <c r="AI5" s="12" t="s">
        <v>2</v>
      </c>
      <c r="AJ5" s="12" t="s">
        <v>2</v>
      </c>
      <c r="AK5" s="12" t="s">
        <v>2</v>
      </c>
      <c r="AL5" s="12" t="s">
        <v>2</v>
      </c>
      <c r="AM5" s="12" t="s">
        <v>2</v>
      </c>
    </row>
    <row r="6" spans="1:40" ht="18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/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30</v>
      </c>
      <c r="AD6" s="1" t="s">
        <v>31</v>
      </c>
      <c r="AE6" s="1" t="s">
        <v>32</v>
      </c>
      <c r="AF6" s="1" t="s">
        <v>30</v>
      </c>
      <c r="AG6" s="1" t="s">
        <v>33</v>
      </c>
      <c r="AH6" s="1" t="s">
        <v>34</v>
      </c>
      <c r="AI6" s="1" t="s">
        <v>30</v>
      </c>
      <c r="AJ6" s="1" t="s">
        <v>35</v>
      </c>
      <c r="AK6" s="1" t="s">
        <v>36</v>
      </c>
      <c r="AL6" s="1" t="s">
        <v>37</v>
      </c>
      <c r="AM6" s="1" t="s">
        <v>38</v>
      </c>
      <c r="AN6" s="1" t="s">
        <v>39</v>
      </c>
    </row>
    <row r="7" spans="1:40" x14ac:dyDescent="0.25">
      <c r="A7" s="10" t="s">
        <v>40</v>
      </c>
      <c r="B7" s="10" t="s">
        <v>41</v>
      </c>
      <c r="C7" s="9" t="s">
        <v>42</v>
      </c>
      <c r="D7" s="9" t="s">
        <v>43</v>
      </c>
      <c r="E7" s="5">
        <v>0.97399999999999998</v>
      </c>
      <c r="F7" s="5">
        <v>7.3999999999999996E-2</v>
      </c>
      <c r="G7" s="5">
        <v>0.13800000000000001</v>
      </c>
      <c r="H7" s="5">
        <v>0.121</v>
      </c>
      <c r="I7" s="5">
        <v>0.878</v>
      </c>
      <c r="J7" s="6">
        <v>8</v>
      </c>
      <c r="K7" s="5">
        <v>7</v>
      </c>
      <c r="L7" s="6">
        <v>33</v>
      </c>
      <c r="M7" s="6">
        <v>6</v>
      </c>
      <c r="N7" s="6">
        <v>7191</v>
      </c>
      <c r="O7" s="6">
        <v>6465</v>
      </c>
      <c r="P7" s="6">
        <f>+N7-O7</f>
        <v>726</v>
      </c>
      <c r="Q7" s="5">
        <v>0.112</v>
      </c>
      <c r="R7" s="6">
        <v>893</v>
      </c>
      <c r="S7" s="6">
        <v>150</v>
      </c>
      <c r="T7" s="5">
        <v>4.97</v>
      </c>
      <c r="U7" s="6">
        <v>111.6</v>
      </c>
      <c r="V7" s="5">
        <v>-0.254</v>
      </c>
      <c r="W7" s="6">
        <v>6382</v>
      </c>
      <c r="X7" s="5">
        <v>0.04</v>
      </c>
      <c r="Y7" s="5">
        <v>0</v>
      </c>
      <c r="Z7" s="5">
        <v>0</v>
      </c>
      <c r="AA7" s="5">
        <v>0.184</v>
      </c>
      <c r="AB7" s="5">
        <v>1.3080000000000001</v>
      </c>
      <c r="AC7" s="5">
        <v>-1.1240000000000001</v>
      </c>
      <c r="AD7" s="5">
        <v>0.184</v>
      </c>
      <c r="AE7" s="5">
        <v>1.3080000000000001</v>
      </c>
      <c r="AF7" s="5">
        <v>-1.1240000000000001</v>
      </c>
      <c r="AG7" s="5">
        <v>0</v>
      </c>
      <c r="AH7" s="5">
        <v>0</v>
      </c>
      <c r="AI7" s="5">
        <v>0</v>
      </c>
      <c r="AJ7" s="5">
        <v>0.39700000000000002</v>
      </c>
      <c r="AK7" s="5">
        <v>1.5349999999999999</v>
      </c>
      <c r="AL7" s="5">
        <v>-1.137</v>
      </c>
      <c r="AM7" s="5">
        <v>0.56730000000000003</v>
      </c>
      <c r="AN7" s="6">
        <v>2762</v>
      </c>
    </row>
    <row r="8" spans="1:40" x14ac:dyDescent="0.25">
      <c r="A8" s="10" t="s">
        <v>40</v>
      </c>
      <c r="B8" s="10" t="s">
        <v>41</v>
      </c>
      <c r="C8" s="9" t="s">
        <v>44</v>
      </c>
      <c r="D8" s="9" t="s">
        <v>44</v>
      </c>
      <c r="E8" s="5">
        <v>1.0329999999999999</v>
      </c>
      <c r="F8" s="5">
        <v>4.1000000000000002E-2</v>
      </c>
      <c r="G8" s="5">
        <v>0</v>
      </c>
      <c r="H8" s="5">
        <v>0</v>
      </c>
      <c r="I8" s="5">
        <v>0</v>
      </c>
      <c r="J8" s="6">
        <v>0</v>
      </c>
      <c r="K8" s="5">
        <v>-1</v>
      </c>
      <c r="L8" s="6">
        <v>47</v>
      </c>
      <c r="M8" s="6">
        <v>-2</v>
      </c>
      <c r="N8" s="6">
        <v>7904</v>
      </c>
      <c r="O8" s="6">
        <v>7649</v>
      </c>
      <c r="P8" s="6">
        <f t="shared" ref="P8:P43" si="0">+N8-O8</f>
        <v>255</v>
      </c>
      <c r="Q8" s="5">
        <v>3.3000000000000002E-2</v>
      </c>
      <c r="R8" s="6">
        <v>0</v>
      </c>
      <c r="S8" s="6">
        <v>771</v>
      </c>
      <c r="T8" s="5">
        <v>-1</v>
      </c>
      <c r="U8" s="2"/>
      <c r="V8" s="2"/>
      <c r="W8" s="6">
        <v>7948</v>
      </c>
      <c r="X8" s="5">
        <v>7.6999999999999999E-2</v>
      </c>
      <c r="Y8" s="5">
        <v>0</v>
      </c>
      <c r="Z8" s="5">
        <v>0</v>
      </c>
      <c r="AA8" s="5">
        <v>4.0000000000000001E-3</v>
      </c>
      <c r="AB8" s="5">
        <v>4.0000000000000001E-3</v>
      </c>
      <c r="AC8" s="5">
        <v>0</v>
      </c>
      <c r="AD8" s="5">
        <v>4.0000000000000001E-3</v>
      </c>
      <c r="AE8" s="5">
        <v>4.0000000000000001E-3</v>
      </c>
      <c r="AF8" s="5">
        <v>0</v>
      </c>
      <c r="AG8" s="2"/>
      <c r="AH8" s="5">
        <v>0</v>
      </c>
      <c r="AI8" s="2"/>
      <c r="AJ8" s="5">
        <v>0.26200000000000001</v>
      </c>
      <c r="AK8" s="5">
        <v>0.27400000000000002</v>
      </c>
      <c r="AL8" s="5">
        <v>-1.2E-2</v>
      </c>
      <c r="AM8" s="5">
        <v>0.67069999999999996</v>
      </c>
      <c r="AN8" s="6">
        <v>2617</v>
      </c>
    </row>
    <row r="9" spans="1:40" x14ac:dyDescent="0.25">
      <c r="A9" s="10" t="s">
        <v>40</v>
      </c>
      <c r="B9" s="10" t="s">
        <v>41</v>
      </c>
      <c r="C9" s="3" t="s">
        <v>45</v>
      </c>
      <c r="D9" s="3"/>
      <c r="E9" s="7">
        <v>1.006</v>
      </c>
      <c r="F9" s="7">
        <v>5.2999999999999999E-2</v>
      </c>
      <c r="G9" s="7">
        <v>6.3E-2</v>
      </c>
      <c r="H9" s="7">
        <v>5.6000000000000001E-2</v>
      </c>
      <c r="I9" s="7">
        <v>0.878</v>
      </c>
      <c r="J9" s="8">
        <v>8</v>
      </c>
      <c r="K9" s="7">
        <v>0.33300000000000002</v>
      </c>
      <c r="L9" s="8">
        <v>80</v>
      </c>
      <c r="M9" s="8">
        <v>4</v>
      </c>
      <c r="N9" s="8">
        <v>15095</v>
      </c>
      <c r="O9" s="8">
        <v>14113</v>
      </c>
      <c r="P9" s="8">
        <f t="shared" si="0"/>
        <v>982</v>
      </c>
      <c r="Q9" s="7">
        <v>7.0000000000000007E-2</v>
      </c>
      <c r="R9" s="8">
        <v>893</v>
      </c>
      <c r="S9" s="8">
        <v>921</v>
      </c>
      <c r="T9" s="7">
        <v>-3.1E-2</v>
      </c>
      <c r="U9" s="8">
        <v>111.6</v>
      </c>
      <c r="V9" s="7">
        <v>-0.27300000000000002</v>
      </c>
      <c r="W9" s="8">
        <v>14330</v>
      </c>
      <c r="X9" s="7">
        <v>0.06</v>
      </c>
      <c r="Y9" s="7">
        <v>0</v>
      </c>
      <c r="Z9" s="7">
        <v>0</v>
      </c>
      <c r="AA9" s="7">
        <v>8.4000000000000005E-2</v>
      </c>
      <c r="AB9" s="7">
        <v>0.59599999999999997</v>
      </c>
      <c r="AC9" s="7">
        <v>-0.51200000000000001</v>
      </c>
      <c r="AD9" s="7">
        <v>8.4000000000000005E-2</v>
      </c>
      <c r="AE9" s="7">
        <v>0.59599999999999997</v>
      </c>
      <c r="AF9" s="7">
        <v>-0.51200000000000001</v>
      </c>
      <c r="AG9" s="7">
        <v>0</v>
      </c>
      <c r="AH9" s="7">
        <v>0</v>
      </c>
      <c r="AI9" s="7">
        <v>0</v>
      </c>
      <c r="AJ9" s="7">
        <v>0.32200000000000001</v>
      </c>
      <c r="AK9" s="7">
        <v>0.84599999999999997</v>
      </c>
      <c r="AL9" s="7">
        <v>-0.52400000000000002</v>
      </c>
      <c r="AM9" s="7">
        <v>0.62470000000000003</v>
      </c>
      <c r="AN9" s="8">
        <v>5379</v>
      </c>
    </row>
    <row r="10" spans="1:40" x14ac:dyDescent="0.25">
      <c r="A10" s="10" t="s">
        <v>40</v>
      </c>
      <c r="B10" s="10" t="s">
        <v>46</v>
      </c>
      <c r="C10" s="9" t="s">
        <v>46</v>
      </c>
      <c r="D10" s="9" t="s">
        <v>47</v>
      </c>
      <c r="E10" s="5">
        <v>0.88300000000000001</v>
      </c>
      <c r="F10" s="5">
        <v>0.126</v>
      </c>
      <c r="G10" s="5">
        <v>0.14000000000000001</v>
      </c>
      <c r="H10" s="5">
        <v>0.1</v>
      </c>
      <c r="I10" s="5">
        <v>0.71499999999999997</v>
      </c>
      <c r="J10" s="6">
        <v>441</v>
      </c>
      <c r="K10" s="5">
        <v>0.36099999999999999</v>
      </c>
      <c r="L10" s="6">
        <v>2752</v>
      </c>
      <c r="M10" s="6">
        <v>107</v>
      </c>
      <c r="N10" s="6">
        <v>849856</v>
      </c>
      <c r="O10" s="6">
        <v>831053</v>
      </c>
      <c r="P10" s="6">
        <f t="shared" si="0"/>
        <v>18803</v>
      </c>
      <c r="Q10" s="5">
        <v>2.3E-2</v>
      </c>
      <c r="R10" s="6">
        <v>116267</v>
      </c>
      <c r="S10" s="6">
        <v>101178</v>
      </c>
      <c r="T10" s="5">
        <v>0.14899999999999999</v>
      </c>
      <c r="U10" s="6">
        <v>264.99</v>
      </c>
      <c r="V10" s="5">
        <v>-0.189</v>
      </c>
      <c r="W10" s="6">
        <v>861276</v>
      </c>
      <c r="X10" s="5">
        <v>1.7000000000000001E-2</v>
      </c>
      <c r="Y10" s="5">
        <v>1.4E-2</v>
      </c>
      <c r="Z10" s="5">
        <v>0.82499999999999996</v>
      </c>
      <c r="AA10" s="5">
        <v>0.84299999999999997</v>
      </c>
      <c r="AB10" s="5">
        <v>0.70199999999999996</v>
      </c>
      <c r="AC10" s="5">
        <v>0.14099999999999999</v>
      </c>
      <c r="AD10" s="5">
        <v>0.84299999999999997</v>
      </c>
      <c r="AE10" s="5">
        <v>0.7</v>
      </c>
      <c r="AF10" s="5">
        <v>0.14299999999999999</v>
      </c>
      <c r="AG10" s="5">
        <v>0.84499999999999997</v>
      </c>
      <c r="AH10" s="5">
        <v>0.52900000000000003</v>
      </c>
      <c r="AI10" s="5">
        <v>0.316</v>
      </c>
      <c r="AJ10" s="5">
        <v>0.93</v>
      </c>
      <c r="AK10" s="5">
        <v>0.78900000000000003</v>
      </c>
      <c r="AL10" s="5">
        <v>0.14000000000000001</v>
      </c>
      <c r="AM10" s="5">
        <v>1.0929</v>
      </c>
      <c r="AN10" s="6">
        <v>-80016</v>
      </c>
    </row>
    <row r="11" spans="1:40" x14ac:dyDescent="0.25">
      <c r="A11" s="10" t="s">
        <v>40</v>
      </c>
      <c r="B11" s="10" t="s">
        <v>46</v>
      </c>
      <c r="C11" s="3" t="s">
        <v>45</v>
      </c>
      <c r="D11" s="3"/>
      <c r="E11" s="7">
        <v>0.88300000000000001</v>
      </c>
      <c r="F11" s="7">
        <v>0.126</v>
      </c>
      <c r="G11" s="7">
        <v>0.14000000000000001</v>
      </c>
      <c r="H11" s="7">
        <v>0.1</v>
      </c>
      <c r="I11" s="7">
        <v>0.71499999999999997</v>
      </c>
      <c r="J11" s="8">
        <v>441</v>
      </c>
      <c r="K11" s="7">
        <v>0.36099999999999999</v>
      </c>
      <c r="L11" s="8">
        <v>2752</v>
      </c>
      <c r="M11" s="8">
        <v>107</v>
      </c>
      <c r="N11" s="8">
        <v>849856</v>
      </c>
      <c r="O11" s="8">
        <v>831053</v>
      </c>
      <c r="P11" s="8">
        <f t="shared" si="0"/>
        <v>18803</v>
      </c>
      <c r="Q11" s="7">
        <v>2.3E-2</v>
      </c>
      <c r="R11" s="8">
        <v>116267</v>
      </c>
      <c r="S11" s="8">
        <v>101178</v>
      </c>
      <c r="T11" s="7">
        <v>0.14899999999999999</v>
      </c>
      <c r="U11" s="8">
        <v>264.99</v>
      </c>
      <c r="V11" s="7">
        <v>-0.189</v>
      </c>
      <c r="W11" s="8">
        <v>861276</v>
      </c>
      <c r="X11" s="7">
        <v>1.7000000000000001E-2</v>
      </c>
      <c r="Y11" s="7">
        <v>1.4E-2</v>
      </c>
      <c r="Z11" s="7">
        <v>0.82499999999999996</v>
      </c>
      <c r="AA11" s="7">
        <v>0.84299999999999997</v>
      </c>
      <c r="AB11" s="7">
        <v>0.70199999999999996</v>
      </c>
      <c r="AC11" s="7">
        <v>0.14099999999999999</v>
      </c>
      <c r="AD11" s="7">
        <v>0.84299999999999997</v>
      </c>
      <c r="AE11" s="7">
        <v>0.7</v>
      </c>
      <c r="AF11" s="7">
        <v>0.14299999999999999</v>
      </c>
      <c r="AG11" s="7">
        <v>0.84499999999999997</v>
      </c>
      <c r="AH11" s="7">
        <v>0.52900000000000003</v>
      </c>
      <c r="AI11" s="7">
        <v>0.316</v>
      </c>
      <c r="AJ11" s="7">
        <v>0.93</v>
      </c>
      <c r="AK11" s="7">
        <v>0.78900000000000003</v>
      </c>
      <c r="AL11" s="7">
        <v>0.14000000000000001</v>
      </c>
      <c r="AM11" s="7">
        <v>1.0929</v>
      </c>
      <c r="AN11" s="8">
        <v>-80016</v>
      </c>
    </row>
    <row r="12" spans="1:40" x14ac:dyDescent="0.25">
      <c r="A12" s="10" t="s">
        <v>40</v>
      </c>
      <c r="B12" s="10" t="s">
        <v>48</v>
      </c>
      <c r="C12" s="9" t="s">
        <v>48</v>
      </c>
      <c r="D12" s="9" t="s">
        <v>48</v>
      </c>
      <c r="E12" s="5">
        <v>0.93600000000000005</v>
      </c>
      <c r="F12" s="5">
        <v>8.7999999999999995E-2</v>
      </c>
      <c r="G12" s="5">
        <v>0.106</v>
      </c>
      <c r="H12" s="5">
        <v>7.1999999999999995E-2</v>
      </c>
      <c r="I12" s="5">
        <v>0.68</v>
      </c>
      <c r="J12" s="6">
        <v>81</v>
      </c>
      <c r="K12" s="5">
        <v>-2.4E-2</v>
      </c>
      <c r="L12" s="6">
        <v>806</v>
      </c>
      <c r="M12" s="6">
        <v>11</v>
      </c>
      <c r="N12" s="6">
        <v>154280</v>
      </c>
      <c r="O12" s="6">
        <v>148100</v>
      </c>
      <c r="P12" s="6">
        <f t="shared" si="0"/>
        <v>6180</v>
      </c>
      <c r="Q12" s="5">
        <v>4.2000000000000003E-2</v>
      </c>
      <c r="R12" s="6">
        <v>15687</v>
      </c>
      <c r="S12" s="6">
        <v>13976</v>
      </c>
      <c r="T12" s="5">
        <v>0.122</v>
      </c>
      <c r="U12" s="6">
        <v>193.66</v>
      </c>
      <c r="V12" s="5">
        <v>0.15</v>
      </c>
      <c r="W12" s="6">
        <v>155716</v>
      </c>
      <c r="X12" s="5">
        <v>4.3999999999999997E-2</v>
      </c>
      <c r="Y12" s="5">
        <v>1.6E-2</v>
      </c>
      <c r="Z12" s="5">
        <v>0.501</v>
      </c>
      <c r="AA12" s="5">
        <v>0.53900000000000003</v>
      </c>
      <c r="AB12" s="5">
        <v>0.59199999999999997</v>
      </c>
      <c r="AC12" s="5">
        <v>-5.2999999999999999E-2</v>
      </c>
      <c r="AD12" s="5">
        <v>0.53900000000000003</v>
      </c>
      <c r="AE12" s="5">
        <v>0.59199999999999997</v>
      </c>
      <c r="AF12" s="5">
        <v>-5.2999999999999999E-2</v>
      </c>
      <c r="AG12" s="5">
        <v>0.98699999999999999</v>
      </c>
      <c r="AH12" s="5">
        <v>0.64600000000000002</v>
      </c>
      <c r="AI12" s="5">
        <v>0.34100000000000003</v>
      </c>
      <c r="AJ12" s="5">
        <v>0.76</v>
      </c>
      <c r="AK12" s="5">
        <v>0.81299999999999994</v>
      </c>
      <c r="AL12" s="5">
        <v>-5.2999999999999999E-2</v>
      </c>
      <c r="AM12" s="5">
        <v>0.92769999999999997</v>
      </c>
      <c r="AN12" s="6">
        <v>11258</v>
      </c>
    </row>
    <row r="13" spans="1:40" x14ac:dyDescent="0.25">
      <c r="A13" s="10" t="s">
        <v>40</v>
      </c>
      <c r="B13" s="10" t="s">
        <v>48</v>
      </c>
      <c r="C13" s="3" t="s">
        <v>45</v>
      </c>
      <c r="D13" s="3"/>
      <c r="E13" s="7">
        <v>0.93600000000000005</v>
      </c>
      <c r="F13" s="7">
        <v>8.7999999999999995E-2</v>
      </c>
      <c r="G13" s="7">
        <v>0.106</v>
      </c>
      <c r="H13" s="7">
        <v>7.1999999999999995E-2</v>
      </c>
      <c r="I13" s="7">
        <v>0.68</v>
      </c>
      <c r="J13" s="8">
        <v>81</v>
      </c>
      <c r="K13" s="7">
        <v>-2.4E-2</v>
      </c>
      <c r="L13" s="8">
        <v>806</v>
      </c>
      <c r="M13" s="8">
        <v>11</v>
      </c>
      <c r="N13" s="8">
        <v>154280</v>
      </c>
      <c r="O13" s="8">
        <v>148100</v>
      </c>
      <c r="P13" s="8">
        <f t="shared" si="0"/>
        <v>6180</v>
      </c>
      <c r="Q13" s="7">
        <v>4.2000000000000003E-2</v>
      </c>
      <c r="R13" s="8">
        <v>15687</v>
      </c>
      <c r="S13" s="8">
        <v>13976</v>
      </c>
      <c r="T13" s="7">
        <v>0.122</v>
      </c>
      <c r="U13" s="8">
        <v>193.66</v>
      </c>
      <c r="V13" s="7">
        <v>0.15</v>
      </c>
      <c r="W13" s="8">
        <v>155716</v>
      </c>
      <c r="X13" s="7">
        <v>4.3999999999999997E-2</v>
      </c>
      <c r="Y13" s="7">
        <v>1.6E-2</v>
      </c>
      <c r="Z13" s="7">
        <v>0.501</v>
      </c>
      <c r="AA13" s="7">
        <v>0.53900000000000003</v>
      </c>
      <c r="AB13" s="7">
        <v>0.59199999999999997</v>
      </c>
      <c r="AC13" s="7">
        <v>-5.2999999999999999E-2</v>
      </c>
      <c r="AD13" s="7">
        <v>0.53900000000000003</v>
      </c>
      <c r="AE13" s="7">
        <v>0.59199999999999997</v>
      </c>
      <c r="AF13" s="7">
        <v>-5.2999999999999999E-2</v>
      </c>
      <c r="AG13" s="7">
        <v>0.98699999999999999</v>
      </c>
      <c r="AH13" s="7">
        <v>0.64600000000000002</v>
      </c>
      <c r="AI13" s="7">
        <v>0.34100000000000003</v>
      </c>
      <c r="AJ13" s="7">
        <v>0.76</v>
      </c>
      <c r="AK13" s="7">
        <v>0.81299999999999994</v>
      </c>
      <c r="AL13" s="7">
        <v>-5.2999999999999999E-2</v>
      </c>
      <c r="AM13" s="7">
        <v>0.92769999999999997</v>
      </c>
      <c r="AN13" s="8">
        <v>11258</v>
      </c>
    </row>
    <row r="14" spans="1:40" x14ac:dyDescent="0.25">
      <c r="A14" s="10" t="s">
        <v>40</v>
      </c>
      <c r="B14" s="10" t="s">
        <v>49</v>
      </c>
      <c r="C14" s="9" t="s">
        <v>50</v>
      </c>
      <c r="D14" s="9" t="s">
        <v>50</v>
      </c>
      <c r="E14" s="5">
        <v>0.95199999999999996</v>
      </c>
      <c r="F14" s="5">
        <v>4.2000000000000003E-2</v>
      </c>
      <c r="G14" s="5">
        <v>7.2999999999999995E-2</v>
      </c>
      <c r="H14" s="5">
        <v>3.9E-2</v>
      </c>
      <c r="I14" s="5">
        <v>0.53400000000000003</v>
      </c>
      <c r="J14" s="6">
        <v>3</v>
      </c>
      <c r="K14" s="5">
        <v>0.5</v>
      </c>
      <c r="L14" s="6">
        <v>26</v>
      </c>
      <c r="M14" s="6">
        <v>2</v>
      </c>
      <c r="N14" s="6">
        <v>16998</v>
      </c>
      <c r="O14" s="6">
        <v>16577</v>
      </c>
      <c r="P14" s="6">
        <f t="shared" si="0"/>
        <v>421</v>
      </c>
      <c r="Q14" s="5">
        <v>2.5000000000000001E-2</v>
      </c>
      <c r="R14" s="6">
        <v>1212</v>
      </c>
      <c r="S14" s="6">
        <v>1756</v>
      </c>
      <c r="T14" s="5">
        <v>-0.31</v>
      </c>
      <c r="U14" s="6">
        <v>404.07</v>
      </c>
      <c r="V14" s="5">
        <v>-0.54</v>
      </c>
      <c r="W14" s="6">
        <v>16028</v>
      </c>
      <c r="X14" s="5">
        <v>4.2999999999999997E-2</v>
      </c>
      <c r="Y14" s="5">
        <v>0</v>
      </c>
      <c r="Z14" s="5">
        <v>1.167</v>
      </c>
      <c r="AA14" s="5">
        <v>1.2769999999999999</v>
      </c>
      <c r="AB14" s="5">
        <v>0.63400000000000001</v>
      </c>
      <c r="AC14" s="5">
        <v>0.64400000000000002</v>
      </c>
      <c r="AD14" s="5">
        <v>1.2769999999999999</v>
      </c>
      <c r="AE14" s="5">
        <v>0.63400000000000001</v>
      </c>
      <c r="AF14" s="5">
        <v>0.64400000000000002</v>
      </c>
      <c r="AG14" s="5">
        <v>0</v>
      </c>
      <c r="AH14" s="5">
        <v>0.69799999999999995</v>
      </c>
      <c r="AI14" s="5">
        <v>-0.69799999999999995</v>
      </c>
      <c r="AJ14" s="5">
        <v>1.4770000000000001</v>
      </c>
      <c r="AK14" s="5">
        <v>0.83399999999999996</v>
      </c>
      <c r="AL14" s="5">
        <v>0.64400000000000002</v>
      </c>
      <c r="AM14" s="5">
        <v>1.671</v>
      </c>
      <c r="AN14" s="6">
        <v>-10755</v>
      </c>
    </row>
    <row r="15" spans="1:40" x14ac:dyDescent="0.25">
      <c r="A15" s="10" t="s">
        <v>40</v>
      </c>
      <c r="B15" s="10" t="s">
        <v>49</v>
      </c>
      <c r="C15" s="3" t="s">
        <v>45</v>
      </c>
      <c r="D15" s="3"/>
      <c r="E15" s="7">
        <v>0.95199999999999996</v>
      </c>
      <c r="F15" s="7">
        <v>4.2000000000000003E-2</v>
      </c>
      <c r="G15" s="7">
        <v>7.2999999999999995E-2</v>
      </c>
      <c r="H15" s="7">
        <v>3.9E-2</v>
      </c>
      <c r="I15" s="7">
        <v>0.53400000000000003</v>
      </c>
      <c r="J15" s="8">
        <v>3</v>
      </c>
      <c r="K15" s="7">
        <v>0.5</v>
      </c>
      <c r="L15" s="8">
        <v>26</v>
      </c>
      <c r="M15" s="8">
        <v>2</v>
      </c>
      <c r="N15" s="8">
        <v>16998</v>
      </c>
      <c r="O15" s="8">
        <v>16577</v>
      </c>
      <c r="P15" s="8">
        <f t="shared" si="0"/>
        <v>421</v>
      </c>
      <c r="Q15" s="7">
        <v>2.5000000000000001E-2</v>
      </c>
      <c r="R15" s="8">
        <v>1212</v>
      </c>
      <c r="S15" s="8">
        <v>1756</v>
      </c>
      <c r="T15" s="7">
        <v>-0.31</v>
      </c>
      <c r="U15" s="8">
        <v>404.07</v>
      </c>
      <c r="V15" s="7">
        <v>-0.54</v>
      </c>
      <c r="W15" s="8">
        <v>16028</v>
      </c>
      <c r="X15" s="7">
        <v>4.2999999999999997E-2</v>
      </c>
      <c r="Y15" s="7">
        <v>0</v>
      </c>
      <c r="Z15" s="7">
        <v>1.167</v>
      </c>
      <c r="AA15" s="7">
        <v>1.2769999999999999</v>
      </c>
      <c r="AB15" s="7">
        <v>0.63400000000000001</v>
      </c>
      <c r="AC15" s="7">
        <v>0.64400000000000002</v>
      </c>
      <c r="AD15" s="7">
        <v>1.2769999999999999</v>
      </c>
      <c r="AE15" s="7">
        <v>0.63400000000000001</v>
      </c>
      <c r="AF15" s="7">
        <v>0.64400000000000002</v>
      </c>
      <c r="AG15" s="7">
        <v>0</v>
      </c>
      <c r="AH15" s="7">
        <v>0.69799999999999995</v>
      </c>
      <c r="AI15" s="7">
        <v>-0.69799999999999995</v>
      </c>
      <c r="AJ15" s="7">
        <v>1.4770000000000001</v>
      </c>
      <c r="AK15" s="7">
        <v>0.83399999999999996</v>
      </c>
      <c r="AL15" s="7">
        <v>0.64400000000000002</v>
      </c>
      <c r="AM15" s="7">
        <v>1.671</v>
      </c>
      <c r="AN15" s="8">
        <v>-10755</v>
      </c>
    </row>
    <row r="16" spans="1:40" x14ac:dyDescent="0.25">
      <c r="A16" s="10" t="s">
        <v>40</v>
      </c>
      <c r="B16" s="10" t="s">
        <v>51</v>
      </c>
      <c r="C16" s="9" t="s">
        <v>52</v>
      </c>
      <c r="D16" s="9" t="s">
        <v>53</v>
      </c>
      <c r="E16" s="5">
        <v>0</v>
      </c>
      <c r="F16" s="5">
        <v>15</v>
      </c>
      <c r="G16" s="5">
        <v>1.504</v>
      </c>
      <c r="H16" s="5">
        <v>0.623</v>
      </c>
      <c r="I16" s="5">
        <v>0.41399999999999998</v>
      </c>
      <c r="J16" s="6">
        <v>17</v>
      </c>
      <c r="K16" s="5">
        <v>1.125</v>
      </c>
      <c r="L16" s="6">
        <v>3</v>
      </c>
      <c r="M16" s="6">
        <v>2</v>
      </c>
      <c r="N16" s="6">
        <v>2051</v>
      </c>
      <c r="O16" s="6">
        <v>1364</v>
      </c>
      <c r="P16" s="6">
        <f t="shared" si="0"/>
        <v>687</v>
      </c>
      <c r="Q16" s="5">
        <v>0.504</v>
      </c>
      <c r="R16" s="6">
        <v>2051</v>
      </c>
      <c r="S16" s="6">
        <v>1364</v>
      </c>
      <c r="T16" s="5">
        <v>0.504</v>
      </c>
      <c r="U16" s="6">
        <v>1753.4</v>
      </c>
      <c r="V16" s="5">
        <v>0.11600000000000001</v>
      </c>
      <c r="W16" s="6">
        <v>1472</v>
      </c>
      <c r="X16" s="5">
        <v>0.11600000000000001</v>
      </c>
      <c r="Y16" s="5">
        <v>0</v>
      </c>
      <c r="Z16" s="5">
        <v>0.31900000000000001</v>
      </c>
      <c r="AA16" s="5">
        <v>0.46700000000000003</v>
      </c>
      <c r="AB16" s="5">
        <v>0.58499999999999996</v>
      </c>
      <c r="AC16" s="5">
        <v>-0.11799999999999999</v>
      </c>
      <c r="AD16" s="5">
        <v>0.46700000000000003</v>
      </c>
      <c r="AE16" s="5">
        <v>0.58499999999999996</v>
      </c>
      <c r="AF16" s="5">
        <v>-0.11799999999999999</v>
      </c>
      <c r="AG16" s="5">
        <v>0.33700000000000002</v>
      </c>
      <c r="AH16" s="5">
        <v>0.44900000000000001</v>
      </c>
      <c r="AI16" s="5">
        <v>-0.111</v>
      </c>
      <c r="AJ16" s="5">
        <v>0.61699999999999999</v>
      </c>
      <c r="AK16" s="5">
        <v>0.73499999999999999</v>
      </c>
      <c r="AL16" s="5">
        <v>-0.11799999999999999</v>
      </c>
      <c r="AM16" s="5">
        <v>0.98499999999999999</v>
      </c>
      <c r="AN16" s="6">
        <v>22</v>
      </c>
    </row>
    <row r="17" spans="1:40" x14ac:dyDescent="0.25">
      <c r="A17" s="10" t="s">
        <v>40</v>
      </c>
      <c r="B17" s="10" t="s">
        <v>51</v>
      </c>
      <c r="C17" s="9" t="s">
        <v>54</v>
      </c>
      <c r="D17" s="9" t="s">
        <v>55</v>
      </c>
      <c r="E17" s="5">
        <v>0.505</v>
      </c>
      <c r="F17" s="5">
        <v>0.5</v>
      </c>
      <c r="G17" s="5">
        <v>1.256</v>
      </c>
      <c r="H17" s="5">
        <v>1.117</v>
      </c>
      <c r="I17" s="5">
        <v>0.88900000000000001</v>
      </c>
      <c r="J17" s="6">
        <v>4</v>
      </c>
      <c r="K17" s="5">
        <v>3</v>
      </c>
      <c r="L17" s="6">
        <v>8</v>
      </c>
      <c r="M17" s="6">
        <v>0</v>
      </c>
      <c r="N17" s="6">
        <v>1993</v>
      </c>
      <c r="O17" s="6">
        <v>1131</v>
      </c>
      <c r="P17" s="6">
        <f t="shared" si="0"/>
        <v>862</v>
      </c>
      <c r="Q17" s="5">
        <v>0.76100000000000001</v>
      </c>
      <c r="R17" s="6">
        <v>1421</v>
      </c>
      <c r="S17" s="6">
        <v>98</v>
      </c>
      <c r="T17" s="5">
        <v>13.468999999999999</v>
      </c>
      <c r="U17" s="6">
        <v>355.33</v>
      </c>
      <c r="V17" s="5">
        <v>2.617</v>
      </c>
      <c r="W17" s="6">
        <v>1140</v>
      </c>
      <c r="X17" s="5">
        <v>0.151</v>
      </c>
      <c r="Y17" s="5">
        <v>0</v>
      </c>
      <c r="Z17" s="5">
        <v>0</v>
      </c>
      <c r="AA17" s="5">
        <v>4.0000000000000001E-3</v>
      </c>
      <c r="AB17" s="5">
        <v>4.0000000000000001E-3</v>
      </c>
      <c r="AC17" s="5">
        <v>0</v>
      </c>
      <c r="AD17" s="5">
        <v>4.0000000000000001E-3</v>
      </c>
      <c r="AE17" s="5">
        <v>4.0000000000000001E-3</v>
      </c>
      <c r="AF17" s="5">
        <v>0</v>
      </c>
      <c r="AG17" s="5">
        <v>0</v>
      </c>
      <c r="AH17" s="5">
        <v>0</v>
      </c>
      <c r="AI17" s="5">
        <v>0</v>
      </c>
      <c r="AJ17" s="5">
        <v>0.154</v>
      </c>
      <c r="AK17" s="5">
        <v>0.154</v>
      </c>
      <c r="AL17" s="5">
        <v>0</v>
      </c>
      <c r="AM17" s="5">
        <v>0.33700000000000002</v>
      </c>
      <c r="AN17" s="6">
        <v>756</v>
      </c>
    </row>
    <row r="18" spans="1:40" x14ac:dyDescent="0.25">
      <c r="A18" s="10" t="s">
        <v>40</v>
      </c>
      <c r="B18" s="10" t="s">
        <v>51</v>
      </c>
      <c r="C18" s="9" t="s">
        <v>56</v>
      </c>
      <c r="D18" s="9" t="s">
        <v>57</v>
      </c>
      <c r="E18" s="5">
        <v>0.35</v>
      </c>
      <c r="F18" s="5">
        <v>0.41699999999999998</v>
      </c>
      <c r="G18" s="5">
        <v>0</v>
      </c>
      <c r="H18" s="5">
        <v>0</v>
      </c>
      <c r="I18" s="5">
        <v>0</v>
      </c>
      <c r="J18" s="6">
        <v>0</v>
      </c>
      <c r="K18" s="2"/>
      <c r="L18" s="6">
        <v>7</v>
      </c>
      <c r="M18" s="6">
        <v>-5</v>
      </c>
      <c r="N18" s="6">
        <v>1159</v>
      </c>
      <c r="O18" s="6">
        <v>3310</v>
      </c>
      <c r="P18" s="6">
        <f t="shared" si="0"/>
        <v>-2151</v>
      </c>
      <c r="Q18" s="5">
        <v>-0.65</v>
      </c>
      <c r="R18" s="6">
        <v>0</v>
      </c>
      <c r="S18" s="6">
        <v>0</v>
      </c>
      <c r="T18" s="2"/>
      <c r="U18" s="2"/>
      <c r="V18" s="2"/>
      <c r="W18" s="6">
        <v>2229</v>
      </c>
      <c r="X18" s="5">
        <v>-0.251</v>
      </c>
      <c r="Y18" s="5">
        <v>0</v>
      </c>
      <c r="Z18" s="5">
        <v>0</v>
      </c>
      <c r="AA18" s="5">
        <v>-3.4000000000000002E-2</v>
      </c>
      <c r="AB18" s="5">
        <v>-3.4000000000000002E-2</v>
      </c>
      <c r="AC18" s="5">
        <v>0</v>
      </c>
      <c r="AD18" s="5">
        <v>-3.4000000000000002E-2</v>
      </c>
      <c r="AE18" s="5">
        <v>-3.4000000000000002E-2</v>
      </c>
      <c r="AF18" s="5">
        <v>0</v>
      </c>
      <c r="AG18" s="2"/>
      <c r="AH18" s="2"/>
      <c r="AI18" s="2"/>
      <c r="AJ18" s="5">
        <v>0.20799999999999999</v>
      </c>
      <c r="AK18" s="5">
        <v>0.20899999999999999</v>
      </c>
      <c r="AL18" s="5">
        <v>-1E-3</v>
      </c>
      <c r="AM18" s="5">
        <v>0.53500000000000003</v>
      </c>
      <c r="AN18" s="6">
        <v>1036</v>
      </c>
    </row>
    <row r="19" spans="1:40" x14ac:dyDescent="0.25">
      <c r="A19" s="10" t="s">
        <v>40</v>
      </c>
      <c r="B19" s="10" t="s">
        <v>51</v>
      </c>
      <c r="C19" s="10" t="s">
        <v>58</v>
      </c>
      <c r="D19" s="9" t="s">
        <v>59</v>
      </c>
      <c r="E19" s="5">
        <v>0.94799999999999995</v>
      </c>
      <c r="F19" s="5">
        <v>7.5999999999999998E-2</v>
      </c>
      <c r="G19" s="5">
        <v>4.9000000000000002E-2</v>
      </c>
      <c r="H19" s="5">
        <v>0.04</v>
      </c>
      <c r="I19" s="5">
        <v>0.81799999999999995</v>
      </c>
      <c r="J19" s="6">
        <v>6</v>
      </c>
      <c r="K19" s="5">
        <v>0.2</v>
      </c>
      <c r="L19" s="6">
        <v>115</v>
      </c>
      <c r="M19" s="6">
        <v>-3</v>
      </c>
      <c r="N19" s="6">
        <v>1923</v>
      </c>
      <c r="O19" s="6">
        <v>1928</v>
      </c>
      <c r="P19" s="6">
        <f t="shared" si="0"/>
        <v>-5</v>
      </c>
      <c r="Q19" s="5">
        <v>-3.0000000000000001E-3</v>
      </c>
      <c r="R19" s="6">
        <v>95</v>
      </c>
      <c r="S19" s="6">
        <v>97</v>
      </c>
      <c r="T19" s="5">
        <v>-0.02</v>
      </c>
      <c r="U19" s="6">
        <v>15.86</v>
      </c>
      <c r="V19" s="5">
        <v>-0.183</v>
      </c>
      <c r="W19" s="6">
        <v>2046</v>
      </c>
      <c r="X19" s="5">
        <v>-1.2999999999999999E-2</v>
      </c>
      <c r="Y19" s="5">
        <v>3.6999999999999998E-2</v>
      </c>
      <c r="Z19" s="5">
        <v>0</v>
      </c>
      <c r="AA19" s="5">
        <v>5.0999999999999997E-2</v>
      </c>
      <c r="AB19" s="5">
        <v>5.0999999999999997E-2</v>
      </c>
      <c r="AC19" s="5">
        <v>0</v>
      </c>
      <c r="AD19" s="5">
        <v>5.0999999999999997E-2</v>
      </c>
      <c r="AE19" s="5">
        <v>5.0999999999999997E-2</v>
      </c>
      <c r="AF19" s="5">
        <v>0</v>
      </c>
      <c r="AG19" s="5">
        <v>0</v>
      </c>
      <c r="AH19" s="5">
        <v>0</v>
      </c>
      <c r="AI19" s="5">
        <v>0</v>
      </c>
      <c r="AJ19" s="5">
        <v>0.28999999999999998</v>
      </c>
      <c r="AK19" s="5">
        <v>0.29099999999999998</v>
      </c>
      <c r="AL19" s="5">
        <v>0</v>
      </c>
      <c r="AM19" s="5">
        <v>0.44650000000000001</v>
      </c>
      <c r="AN19" s="6">
        <v>1132</v>
      </c>
    </row>
    <row r="20" spans="1:40" x14ac:dyDescent="0.25">
      <c r="A20" s="10" t="s">
        <v>40</v>
      </c>
      <c r="B20" s="10" t="s">
        <v>51</v>
      </c>
      <c r="C20" s="10" t="s">
        <v>58</v>
      </c>
      <c r="D20" s="9" t="s">
        <v>60</v>
      </c>
      <c r="E20" s="5">
        <v>0.92500000000000004</v>
      </c>
      <c r="F20" s="5">
        <v>0.21099999999999999</v>
      </c>
      <c r="G20" s="5">
        <v>0.13</v>
      </c>
      <c r="H20" s="5">
        <v>0.10199999999999999</v>
      </c>
      <c r="I20" s="5">
        <v>0.78400000000000003</v>
      </c>
      <c r="J20" s="6">
        <v>11</v>
      </c>
      <c r="K20" s="5">
        <v>-8.3000000000000004E-2</v>
      </c>
      <c r="L20" s="6">
        <v>41</v>
      </c>
      <c r="M20" s="6">
        <v>3</v>
      </c>
      <c r="N20" s="6">
        <v>7290</v>
      </c>
      <c r="O20" s="6">
        <v>6911</v>
      </c>
      <c r="P20" s="6">
        <f t="shared" si="0"/>
        <v>379</v>
      </c>
      <c r="Q20" s="5">
        <v>5.5E-2</v>
      </c>
      <c r="R20" s="6">
        <v>898</v>
      </c>
      <c r="S20" s="6">
        <v>2036</v>
      </c>
      <c r="T20" s="5">
        <v>-0.55900000000000005</v>
      </c>
      <c r="U20" s="6">
        <v>81.650000000000006</v>
      </c>
      <c r="V20" s="5">
        <v>-0.55100000000000005</v>
      </c>
      <c r="W20" s="6">
        <v>7328</v>
      </c>
      <c r="X20" s="5">
        <v>0.312</v>
      </c>
      <c r="Y20" s="5">
        <v>0</v>
      </c>
      <c r="Z20" s="5">
        <v>0</v>
      </c>
      <c r="AA20" s="5">
        <v>6.2E-2</v>
      </c>
      <c r="AB20" s="5">
        <v>6.2E-2</v>
      </c>
      <c r="AC20" s="5">
        <v>0</v>
      </c>
      <c r="AD20" s="5">
        <v>6.2E-2</v>
      </c>
      <c r="AE20" s="5">
        <v>6.2E-2</v>
      </c>
      <c r="AF20" s="5">
        <v>0</v>
      </c>
      <c r="AG20" s="5">
        <v>0</v>
      </c>
      <c r="AH20" s="5">
        <v>0</v>
      </c>
      <c r="AI20" s="5">
        <v>0</v>
      </c>
      <c r="AJ20" s="5">
        <v>0.25900000000000001</v>
      </c>
      <c r="AK20" s="5">
        <v>0.25800000000000001</v>
      </c>
      <c r="AL20" s="5">
        <v>1E-3</v>
      </c>
      <c r="AM20" s="5">
        <v>0.42199999999999999</v>
      </c>
      <c r="AN20" s="6">
        <v>4235</v>
      </c>
    </row>
    <row r="21" spans="1:40" x14ac:dyDescent="0.25">
      <c r="A21" s="10" t="s">
        <v>40</v>
      </c>
      <c r="B21" s="10" t="s">
        <v>51</v>
      </c>
      <c r="C21" s="9" t="s">
        <v>61</v>
      </c>
      <c r="D21" s="9" t="s">
        <v>61</v>
      </c>
      <c r="E21" s="5">
        <v>0.77500000000000002</v>
      </c>
      <c r="F21" s="5">
        <v>0.16700000000000001</v>
      </c>
      <c r="G21" s="5">
        <v>0</v>
      </c>
      <c r="H21" s="5">
        <v>0</v>
      </c>
      <c r="I21" s="5">
        <v>0</v>
      </c>
      <c r="J21" s="6">
        <v>0</v>
      </c>
      <c r="K21" s="2"/>
      <c r="L21" s="6">
        <v>25</v>
      </c>
      <c r="M21" s="6">
        <v>-5</v>
      </c>
      <c r="N21" s="6">
        <v>2386</v>
      </c>
      <c r="O21" s="6">
        <v>3080</v>
      </c>
      <c r="P21" s="6">
        <f t="shared" si="0"/>
        <v>-694</v>
      </c>
      <c r="Q21" s="5">
        <v>-0.22500000000000001</v>
      </c>
      <c r="R21" s="6">
        <v>0</v>
      </c>
      <c r="S21" s="6">
        <v>0</v>
      </c>
      <c r="T21" s="2"/>
      <c r="U21" s="2"/>
      <c r="V21" s="2"/>
      <c r="W21" s="6">
        <v>2784</v>
      </c>
      <c r="X21" s="5">
        <v>-0.13300000000000001</v>
      </c>
      <c r="Y21" s="5">
        <v>0</v>
      </c>
      <c r="Z21" s="5">
        <v>0</v>
      </c>
      <c r="AA21" s="5">
        <v>1.6E-2</v>
      </c>
      <c r="AB21" s="5">
        <v>1.6E-2</v>
      </c>
      <c r="AC21" s="5">
        <v>0</v>
      </c>
      <c r="AD21" s="5">
        <v>1.6E-2</v>
      </c>
      <c r="AE21" s="5">
        <v>1.6E-2</v>
      </c>
      <c r="AF21" s="5">
        <v>0</v>
      </c>
      <c r="AG21" s="2"/>
      <c r="AH21" s="2"/>
      <c r="AI21" s="2"/>
      <c r="AJ21" s="5">
        <v>0.26600000000000001</v>
      </c>
      <c r="AK21" s="5">
        <v>0.26600000000000001</v>
      </c>
      <c r="AL21" s="5">
        <v>0</v>
      </c>
      <c r="AM21" s="5">
        <v>0.41699999999999998</v>
      </c>
      <c r="AN21" s="6">
        <v>1623</v>
      </c>
    </row>
    <row r="22" spans="1:40" x14ac:dyDescent="0.25">
      <c r="A22" s="10" t="s">
        <v>40</v>
      </c>
      <c r="B22" s="10" t="s">
        <v>51</v>
      </c>
      <c r="C22" s="3" t="s">
        <v>45</v>
      </c>
      <c r="D22" s="3"/>
      <c r="E22" s="7">
        <v>0.69599999999999995</v>
      </c>
      <c r="F22" s="7">
        <v>0.222</v>
      </c>
      <c r="G22" s="7">
        <v>0.252</v>
      </c>
      <c r="H22" s="7">
        <v>0.16300000000000001</v>
      </c>
      <c r="I22" s="7">
        <v>0.64800000000000002</v>
      </c>
      <c r="J22" s="8">
        <v>38</v>
      </c>
      <c r="K22" s="7">
        <v>0.46200000000000002</v>
      </c>
      <c r="L22" s="8">
        <v>199</v>
      </c>
      <c r="M22" s="8">
        <v>-8</v>
      </c>
      <c r="N22" s="8">
        <v>16802</v>
      </c>
      <c r="O22" s="8">
        <v>17725</v>
      </c>
      <c r="P22" s="8">
        <f t="shared" si="0"/>
        <v>-923</v>
      </c>
      <c r="Q22" s="7">
        <v>-5.1999999999999998E-2</v>
      </c>
      <c r="R22" s="8">
        <v>4466</v>
      </c>
      <c r="S22" s="8">
        <v>3595</v>
      </c>
      <c r="T22" s="7">
        <v>0.24199999999999999</v>
      </c>
      <c r="U22" s="8">
        <v>201.44</v>
      </c>
      <c r="V22" s="7">
        <v>1.0999999999999999E-2</v>
      </c>
      <c r="W22" s="8">
        <v>16998</v>
      </c>
      <c r="X22" s="7">
        <v>5.1999999999999998E-2</v>
      </c>
      <c r="Y22" s="7">
        <v>4.0000000000000001E-3</v>
      </c>
      <c r="Z22" s="7">
        <v>2.8000000000000001E-2</v>
      </c>
      <c r="AA22" s="7">
        <v>7.1999999999999995E-2</v>
      </c>
      <c r="AB22" s="7">
        <v>7.2999999999999995E-2</v>
      </c>
      <c r="AC22" s="7">
        <v>-1E-3</v>
      </c>
      <c r="AD22" s="7">
        <v>7.1999999999999995E-2</v>
      </c>
      <c r="AE22" s="7">
        <v>7.2999999999999995E-2</v>
      </c>
      <c r="AF22" s="7">
        <v>-1E-3</v>
      </c>
      <c r="AG22" s="7">
        <v>0.19</v>
      </c>
      <c r="AH22" s="7">
        <v>0.32500000000000001</v>
      </c>
      <c r="AI22" s="7">
        <v>-0.13500000000000001</v>
      </c>
      <c r="AJ22" s="7">
        <v>0.28100000000000003</v>
      </c>
      <c r="AK22" s="7">
        <v>0.28699999999999998</v>
      </c>
      <c r="AL22" s="7">
        <v>-6.0000000000000001E-3</v>
      </c>
      <c r="AM22" s="7">
        <v>0.48199999999999998</v>
      </c>
      <c r="AN22" s="8">
        <v>8805</v>
      </c>
    </row>
    <row r="23" spans="1:40" x14ac:dyDescent="0.25">
      <c r="A23" s="10" t="s">
        <v>40</v>
      </c>
      <c r="B23" s="10" t="s">
        <v>62</v>
      </c>
      <c r="C23" s="9" t="s">
        <v>62</v>
      </c>
      <c r="D23" s="9" t="s">
        <v>63</v>
      </c>
      <c r="E23" s="5">
        <v>0.92800000000000005</v>
      </c>
      <c r="F23" s="5">
        <v>0.15</v>
      </c>
      <c r="G23" s="5">
        <v>0.223</v>
      </c>
      <c r="H23" s="5">
        <v>0.14599999999999999</v>
      </c>
      <c r="I23" s="5">
        <v>0.65700000000000003</v>
      </c>
      <c r="J23" s="6">
        <v>15</v>
      </c>
      <c r="K23" s="5">
        <v>0.66700000000000004</v>
      </c>
      <c r="L23" s="6">
        <v>66</v>
      </c>
      <c r="M23" s="6">
        <v>6</v>
      </c>
      <c r="N23" s="6">
        <v>30591</v>
      </c>
      <c r="O23" s="6">
        <v>26596</v>
      </c>
      <c r="P23" s="6">
        <f t="shared" si="0"/>
        <v>3995</v>
      </c>
      <c r="Q23" s="5">
        <v>0.15</v>
      </c>
      <c r="R23" s="6">
        <v>5921</v>
      </c>
      <c r="S23" s="6">
        <v>4860</v>
      </c>
      <c r="T23" s="5">
        <v>0.218</v>
      </c>
      <c r="U23" s="6">
        <v>394.74</v>
      </c>
      <c r="V23" s="5">
        <v>-0.26900000000000002</v>
      </c>
      <c r="W23" s="6">
        <v>29417</v>
      </c>
      <c r="X23" s="5">
        <v>0.14399999999999999</v>
      </c>
      <c r="Y23" s="5">
        <v>6.0000000000000001E-3</v>
      </c>
      <c r="Z23" s="5">
        <v>0.39800000000000002</v>
      </c>
      <c r="AA23" s="5">
        <v>0.42399999999999999</v>
      </c>
      <c r="AB23" s="5">
        <v>0.55600000000000005</v>
      </c>
      <c r="AC23" s="5">
        <v>-0.13200000000000001</v>
      </c>
      <c r="AD23" s="5">
        <v>0.42399999999999999</v>
      </c>
      <c r="AE23" s="5">
        <v>0.55600000000000005</v>
      </c>
      <c r="AF23" s="5">
        <v>-0.13200000000000001</v>
      </c>
      <c r="AG23" s="5">
        <v>0.317</v>
      </c>
      <c r="AH23" s="5">
        <v>0.158</v>
      </c>
      <c r="AI23" s="5">
        <v>0.159</v>
      </c>
      <c r="AJ23" s="5">
        <v>0.53</v>
      </c>
      <c r="AK23" s="5">
        <v>0.67800000000000005</v>
      </c>
      <c r="AL23" s="5">
        <v>-0.14799999999999999</v>
      </c>
      <c r="AM23" s="5">
        <v>0.68879999999999997</v>
      </c>
      <c r="AN23" s="6">
        <v>9154</v>
      </c>
    </row>
    <row r="24" spans="1:40" x14ac:dyDescent="0.25">
      <c r="A24" s="10" t="s">
        <v>40</v>
      </c>
      <c r="B24" s="10" t="s">
        <v>62</v>
      </c>
      <c r="C24" s="3" t="s">
        <v>45</v>
      </c>
      <c r="D24" s="3"/>
      <c r="E24" s="7">
        <v>0.92800000000000005</v>
      </c>
      <c r="F24" s="7">
        <v>0.15</v>
      </c>
      <c r="G24" s="7">
        <v>0.223</v>
      </c>
      <c r="H24" s="7">
        <v>0.14599999999999999</v>
      </c>
      <c r="I24" s="7">
        <v>0.65700000000000003</v>
      </c>
      <c r="J24" s="8">
        <v>15</v>
      </c>
      <c r="K24" s="7">
        <v>0.66700000000000004</v>
      </c>
      <c r="L24" s="8">
        <v>66</v>
      </c>
      <c r="M24" s="8">
        <v>6</v>
      </c>
      <c r="N24" s="8">
        <v>30591</v>
      </c>
      <c r="O24" s="8">
        <v>26596</v>
      </c>
      <c r="P24" s="8">
        <f t="shared" si="0"/>
        <v>3995</v>
      </c>
      <c r="Q24" s="7">
        <v>0.15</v>
      </c>
      <c r="R24" s="8">
        <v>5921</v>
      </c>
      <c r="S24" s="8">
        <v>4860</v>
      </c>
      <c r="T24" s="7">
        <v>0.218</v>
      </c>
      <c r="U24" s="8">
        <v>394.74</v>
      </c>
      <c r="V24" s="7">
        <v>-0.26900000000000002</v>
      </c>
      <c r="W24" s="8">
        <v>29417</v>
      </c>
      <c r="X24" s="7">
        <v>0.14399999999999999</v>
      </c>
      <c r="Y24" s="7">
        <v>6.0000000000000001E-3</v>
      </c>
      <c r="Z24" s="7">
        <v>0.39800000000000002</v>
      </c>
      <c r="AA24" s="7">
        <v>0.42399999999999999</v>
      </c>
      <c r="AB24" s="7">
        <v>0.55600000000000005</v>
      </c>
      <c r="AC24" s="7">
        <v>-0.13200000000000001</v>
      </c>
      <c r="AD24" s="7">
        <v>0.42399999999999999</v>
      </c>
      <c r="AE24" s="7">
        <v>0.55600000000000005</v>
      </c>
      <c r="AF24" s="7">
        <v>-0.13200000000000001</v>
      </c>
      <c r="AG24" s="7">
        <v>0.317</v>
      </c>
      <c r="AH24" s="7">
        <v>0.158</v>
      </c>
      <c r="AI24" s="7">
        <v>0.159</v>
      </c>
      <c r="AJ24" s="7">
        <v>0.53</v>
      </c>
      <c r="AK24" s="7">
        <v>0.67800000000000005</v>
      </c>
      <c r="AL24" s="7">
        <v>-0.14799999999999999</v>
      </c>
      <c r="AM24" s="7">
        <v>0.68879999999999997</v>
      </c>
      <c r="AN24" s="8">
        <v>9154</v>
      </c>
    </row>
    <row r="25" spans="1:40" x14ac:dyDescent="0.25">
      <c r="A25" s="10" t="s">
        <v>40</v>
      </c>
      <c r="B25" s="3" t="s">
        <v>45</v>
      </c>
      <c r="C25" s="3"/>
      <c r="D25" s="3"/>
      <c r="E25" s="7">
        <v>0.89100000000000001</v>
      </c>
      <c r="F25" s="7">
        <v>0.122</v>
      </c>
      <c r="G25" s="7">
        <v>0.13700000000000001</v>
      </c>
      <c r="H25" s="7">
        <v>9.7000000000000003E-2</v>
      </c>
      <c r="I25" s="7">
        <v>0.70699999999999996</v>
      </c>
      <c r="J25" s="8">
        <v>586</v>
      </c>
      <c r="K25" s="7">
        <v>0.30199999999999999</v>
      </c>
      <c r="L25" s="8">
        <v>3929</v>
      </c>
      <c r="M25" s="8">
        <v>122</v>
      </c>
      <c r="N25" s="8">
        <v>1083623</v>
      </c>
      <c r="O25" s="8">
        <v>1054164</v>
      </c>
      <c r="P25" s="8">
        <f t="shared" si="0"/>
        <v>29459</v>
      </c>
      <c r="Q25" s="7">
        <v>2.8000000000000001E-2</v>
      </c>
      <c r="R25" s="8">
        <v>144446</v>
      </c>
      <c r="S25" s="8">
        <v>126286</v>
      </c>
      <c r="T25" s="7">
        <v>0.14399999999999999</v>
      </c>
      <c r="U25" s="8">
        <v>254.34</v>
      </c>
      <c r="V25" s="7">
        <v>-0.13800000000000001</v>
      </c>
      <c r="W25" s="8">
        <v>1093766</v>
      </c>
      <c r="X25" s="7">
        <v>2.5999999999999999E-2</v>
      </c>
      <c r="Y25" s="7">
        <v>1.4E-2</v>
      </c>
      <c r="Z25" s="7">
        <v>0.749</v>
      </c>
      <c r="AA25" s="7">
        <v>0.77300000000000002</v>
      </c>
      <c r="AB25" s="7">
        <v>0.67200000000000004</v>
      </c>
      <c r="AC25" s="7">
        <v>0.10100000000000001</v>
      </c>
      <c r="AD25" s="7">
        <v>0.77300000000000002</v>
      </c>
      <c r="AE25" s="7">
        <v>0.67</v>
      </c>
      <c r="AF25" s="7">
        <v>0.10299999999999999</v>
      </c>
      <c r="AG25" s="7">
        <v>0.80300000000000005</v>
      </c>
      <c r="AH25" s="7">
        <v>0.52200000000000002</v>
      </c>
      <c r="AI25" s="7">
        <v>0.28100000000000003</v>
      </c>
      <c r="AJ25" s="7">
        <v>0.88500000000000001</v>
      </c>
      <c r="AK25" s="7">
        <v>0.78400000000000003</v>
      </c>
      <c r="AL25" s="7">
        <v>0.10100000000000001</v>
      </c>
      <c r="AM25" s="7">
        <v>1.0513999999999999</v>
      </c>
      <c r="AN25" s="8">
        <v>-56175</v>
      </c>
    </row>
    <row r="26" spans="1:40" x14ac:dyDescent="0.25">
      <c r="A26" s="10" t="s">
        <v>64</v>
      </c>
      <c r="B26" s="10" t="s">
        <v>42</v>
      </c>
      <c r="C26" s="9" t="s">
        <v>42</v>
      </c>
      <c r="D26" s="9" t="s">
        <v>65</v>
      </c>
      <c r="E26" s="5">
        <v>1.2689999999999999</v>
      </c>
      <c r="F26" s="5">
        <v>0.13600000000000001</v>
      </c>
      <c r="G26" s="5">
        <v>0.25900000000000001</v>
      </c>
      <c r="H26" s="5">
        <v>0.15</v>
      </c>
      <c r="I26" s="5">
        <v>0.57899999999999996</v>
      </c>
      <c r="J26" s="6">
        <v>15</v>
      </c>
      <c r="K26" s="5">
        <v>1.5</v>
      </c>
      <c r="L26" s="6">
        <v>91</v>
      </c>
      <c r="M26" s="6">
        <v>3</v>
      </c>
      <c r="N26" s="6">
        <v>12146</v>
      </c>
      <c r="O26" s="6">
        <v>7952</v>
      </c>
      <c r="P26" s="6">
        <f t="shared" si="0"/>
        <v>4194</v>
      </c>
      <c r="Q26" s="5">
        <v>0.52700000000000002</v>
      </c>
      <c r="R26" s="6">
        <v>2058</v>
      </c>
      <c r="S26" s="6">
        <v>764</v>
      </c>
      <c r="T26" s="5">
        <v>1.694</v>
      </c>
      <c r="U26" s="6">
        <v>157.44999999999999</v>
      </c>
      <c r="V26" s="5">
        <v>6.8000000000000005E-2</v>
      </c>
      <c r="W26" s="6">
        <v>11158</v>
      </c>
      <c r="X26" s="5">
        <v>0.22800000000000001</v>
      </c>
      <c r="Y26" s="5">
        <v>5.0000000000000001E-3</v>
      </c>
      <c r="Z26" s="5">
        <v>0</v>
      </c>
      <c r="AA26" s="5">
        <v>0.23</v>
      </c>
      <c r="AB26" s="5">
        <v>0.23</v>
      </c>
      <c r="AC26" s="5">
        <v>0</v>
      </c>
      <c r="AD26" s="5">
        <v>0.23</v>
      </c>
      <c r="AE26" s="5">
        <v>0.23</v>
      </c>
      <c r="AF26" s="5">
        <v>0</v>
      </c>
      <c r="AG26" s="5">
        <v>0</v>
      </c>
      <c r="AH26" s="5">
        <v>0</v>
      </c>
      <c r="AI26" s="5">
        <v>0</v>
      </c>
      <c r="AJ26" s="5">
        <v>0.41399999999999998</v>
      </c>
      <c r="AK26" s="5">
        <v>0.41699999999999998</v>
      </c>
      <c r="AL26" s="5">
        <v>-3.0000000000000001E-3</v>
      </c>
      <c r="AM26" s="5">
        <v>0.57289999999999996</v>
      </c>
      <c r="AN26" s="6">
        <v>4765</v>
      </c>
    </row>
    <row r="27" spans="1:40" x14ac:dyDescent="0.25">
      <c r="A27" s="10" t="s">
        <v>64</v>
      </c>
      <c r="B27" s="10" t="s">
        <v>42</v>
      </c>
      <c r="C27" s="3" t="s">
        <v>45</v>
      </c>
      <c r="D27" s="3"/>
      <c r="E27" s="7">
        <v>1.2689999999999999</v>
      </c>
      <c r="F27" s="7">
        <v>0.13600000000000001</v>
      </c>
      <c r="G27" s="7">
        <v>0.25900000000000001</v>
      </c>
      <c r="H27" s="7">
        <v>0.15</v>
      </c>
      <c r="I27" s="7">
        <v>0.57899999999999996</v>
      </c>
      <c r="J27" s="8">
        <v>15</v>
      </c>
      <c r="K27" s="7">
        <v>1.5</v>
      </c>
      <c r="L27" s="8">
        <v>91</v>
      </c>
      <c r="M27" s="8">
        <v>3</v>
      </c>
      <c r="N27" s="8">
        <v>12146</v>
      </c>
      <c r="O27" s="8">
        <v>7952</v>
      </c>
      <c r="P27" s="8">
        <f t="shared" si="0"/>
        <v>4194</v>
      </c>
      <c r="Q27" s="7">
        <v>0.52700000000000002</v>
      </c>
      <c r="R27" s="8">
        <v>2058</v>
      </c>
      <c r="S27" s="8">
        <v>764</v>
      </c>
      <c r="T27" s="7">
        <v>1.694</v>
      </c>
      <c r="U27" s="8">
        <v>157.44999999999999</v>
      </c>
      <c r="V27" s="7">
        <v>6.8000000000000005E-2</v>
      </c>
      <c r="W27" s="8">
        <v>11158</v>
      </c>
      <c r="X27" s="7">
        <v>0.22800000000000001</v>
      </c>
      <c r="Y27" s="7">
        <v>5.0000000000000001E-3</v>
      </c>
      <c r="Z27" s="7">
        <v>0</v>
      </c>
      <c r="AA27" s="7">
        <v>0.23</v>
      </c>
      <c r="AB27" s="7">
        <v>0.23</v>
      </c>
      <c r="AC27" s="7">
        <v>0</v>
      </c>
      <c r="AD27" s="7">
        <v>0.23</v>
      </c>
      <c r="AE27" s="7">
        <v>0.23</v>
      </c>
      <c r="AF27" s="7">
        <v>0</v>
      </c>
      <c r="AG27" s="7">
        <v>0</v>
      </c>
      <c r="AH27" s="7">
        <v>0</v>
      </c>
      <c r="AI27" s="7">
        <v>0</v>
      </c>
      <c r="AJ27" s="7">
        <v>0.41399999999999998</v>
      </c>
      <c r="AK27" s="7">
        <v>0.41699999999999998</v>
      </c>
      <c r="AL27" s="7">
        <v>-3.0000000000000001E-3</v>
      </c>
      <c r="AM27" s="7">
        <v>0.57289999999999996</v>
      </c>
      <c r="AN27" s="8">
        <v>4765</v>
      </c>
    </row>
    <row r="28" spans="1:40" x14ac:dyDescent="0.25">
      <c r="A28" s="10" t="s">
        <v>64</v>
      </c>
      <c r="B28" s="10" t="s">
        <v>46</v>
      </c>
      <c r="C28" s="9" t="s">
        <v>46</v>
      </c>
      <c r="D28" s="9" t="s">
        <v>66</v>
      </c>
      <c r="E28" s="5">
        <v>-6.9000000000000006E-2</v>
      </c>
      <c r="F28" s="5">
        <v>0.32300000000000001</v>
      </c>
      <c r="G28" s="5">
        <v>0.54200000000000004</v>
      </c>
      <c r="H28" s="5">
        <v>0.54200000000000004</v>
      </c>
      <c r="I28" s="5">
        <v>1</v>
      </c>
      <c r="J28" s="6">
        <v>35</v>
      </c>
      <c r="K28" s="5">
        <v>6.0999999999999999E-2</v>
      </c>
      <c r="L28" s="6">
        <v>77</v>
      </c>
      <c r="M28" s="6">
        <v>15</v>
      </c>
      <c r="N28" s="6">
        <v>12241</v>
      </c>
      <c r="O28" s="6">
        <v>25887</v>
      </c>
      <c r="P28" s="6">
        <f t="shared" si="0"/>
        <v>-13646</v>
      </c>
      <c r="Q28" s="5">
        <v>-0.52700000000000002</v>
      </c>
      <c r="R28" s="6">
        <v>14025</v>
      </c>
      <c r="S28" s="6">
        <v>11915</v>
      </c>
      <c r="T28" s="5">
        <v>0.17699999999999999</v>
      </c>
      <c r="U28" s="6">
        <v>391.53</v>
      </c>
      <c r="V28" s="5">
        <v>0.129</v>
      </c>
      <c r="W28" s="6">
        <v>32540</v>
      </c>
      <c r="X28" s="5">
        <v>1E-3</v>
      </c>
      <c r="Y28" s="5">
        <v>0</v>
      </c>
      <c r="Z28" s="5">
        <v>0.505</v>
      </c>
      <c r="AA28" s="5">
        <v>0.52700000000000002</v>
      </c>
      <c r="AB28" s="5">
        <v>0.71899999999999997</v>
      </c>
      <c r="AC28" s="5">
        <v>-0.192</v>
      </c>
      <c r="AD28" s="5">
        <v>0.52700000000000002</v>
      </c>
      <c r="AE28" s="5">
        <v>0.71899999999999997</v>
      </c>
      <c r="AF28" s="5">
        <v>-0.192</v>
      </c>
      <c r="AG28" s="5">
        <v>0</v>
      </c>
      <c r="AH28" s="5">
        <v>0</v>
      </c>
      <c r="AI28" s="5">
        <v>0</v>
      </c>
      <c r="AJ28" s="5">
        <v>0.59799999999999998</v>
      </c>
      <c r="AK28" s="5">
        <v>0.78900000000000003</v>
      </c>
      <c r="AL28" s="5">
        <v>-0.192</v>
      </c>
      <c r="AM28" s="5">
        <v>0.72989999999999999</v>
      </c>
      <c r="AN28" s="6">
        <v>8790</v>
      </c>
    </row>
    <row r="29" spans="1:40" x14ac:dyDescent="0.25">
      <c r="A29" s="10" t="s">
        <v>64</v>
      </c>
      <c r="B29" s="10" t="s">
        <v>46</v>
      </c>
      <c r="C29" s="3" t="s">
        <v>45</v>
      </c>
      <c r="D29" s="3"/>
      <c r="E29" s="7">
        <v>-6.9000000000000006E-2</v>
      </c>
      <c r="F29" s="7">
        <v>0.32300000000000001</v>
      </c>
      <c r="G29" s="7">
        <v>0.54200000000000004</v>
      </c>
      <c r="H29" s="7">
        <v>0.54200000000000004</v>
      </c>
      <c r="I29" s="7">
        <v>1</v>
      </c>
      <c r="J29" s="8">
        <v>35</v>
      </c>
      <c r="K29" s="7">
        <v>6.0999999999999999E-2</v>
      </c>
      <c r="L29" s="8">
        <v>77</v>
      </c>
      <c r="M29" s="8">
        <v>15</v>
      </c>
      <c r="N29" s="8">
        <v>12241</v>
      </c>
      <c r="O29" s="8">
        <v>25887</v>
      </c>
      <c r="P29" s="8">
        <f t="shared" si="0"/>
        <v>-13646</v>
      </c>
      <c r="Q29" s="7">
        <v>-0.52700000000000002</v>
      </c>
      <c r="R29" s="8">
        <v>14025</v>
      </c>
      <c r="S29" s="8">
        <v>11915</v>
      </c>
      <c r="T29" s="7">
        <v>0.17699999999999999</v>
      </c>
      <c r="U29" s="8">
        <v>391.53</v>
      </c>
      <c r="V29" s="7">
        <v>0.129</v>
      </c>
      <c r="W29" s="8">
        <v>32540</v>
      </c>
      <c r="X29" s="7">
        <v>1E-3</v>
      </c>
      <c r="Y29" s="7">
        <v>0</v>
      </c>
      <c r="Z29" s="7">
        <v>0.505</v>
      </c>
      <c r="AA29" s="7">
        <v>0.52700000000000002</v>
      </c>
      <c r="AB29" s="7">
        <v>0.71899999999999997</v>
      </c>
      <c r="AC29" s="7">
        <v>-0.192</v>
      </c>
      <c r="AD29" s="7">
        <v>0.52700000000000002</v>
      </c>
      <c r="AE29" s="7">
        <v>0.71899999999999997</v>
      </c>
      <c r="AF29" s="7">
        <v>-0.192</v>
      </c>
      <c r="AG29" s="7">
        <v>0</v>
      </c>
      <c r="AH29" s="7">
        <v>0</v>
      </c>
      <c r="AI29" s="7">
        <v>0</v>
      </c>
      <c r="AJ29" s="7">
        <v>0.59799999999999998</v>
      </c>
      <c r="AK29" s="7">
        <v>0.78900000000000003</v>
      </c>
      <c r="AL29" s="7">
        <v>-0.192</v>
      </c>
      <c r="AM29" s="7">
        <v>0.72989999999999999</v>
      </c>
      <c r="AN29" s="8">
        <v>8790</v>
      </c>
    </row>
    <row r="30" spans="1:40" x14ac:dyDescent="0.25">
      <c r="A30" s="10" t="s">
        <v>64</v>
      </c>
      <c r="B30" s="10" t="s">
        <v>67</v>
      </c>
      <c r="C30" s="9" t="s">
        <v>56</v>
      </c>
      <c r="D30" s="9" t="s">
        <v>68</v>
      </c>
      <c r="E30" s="5">
        <v>0</v>
      </c>
      <c r="F30" s="5">
        <v>1</v>
      </c>
      <c r="G30" s="5">
        <v>0</v>
      </c>
      <c r="H30" s="5">
        <v>0</v>
      </c>
      <c r="I30" s="5">
        <v>0</v>
      </c>
      <c r="J30" s="6">
        <v>0</v>
      </c>
      <c r="K30" s="2"/>
      <c r="L30" s="6">
        <v>0</v>
      </c>
      <c r="M30" s="6">
        <v>-1</v>
      </c>
      <c r="N30" s="6">
        <v>0</v>
      </c>
      <c r="O30" s="6">
        <v>333</v>
      </c>
      <c r="P30" s="6">
        <f t="shared" si="0"/>
        <v>-333</v>
      </c>
      <c r="Q30" s="5">
        <v>-1</v>
      </c>
      <c r="R30" s="6">
        <v>0</v>
      </c>
      <c r="S30" s="6">
        <v>0</v>
      </c>
      <c r="T30" s="2"/>
      <c r="U30" s="2"/>
      <c r="V30" s="2"/>
      <c r="W30" s="6">
        <v>178</v>
      </c>
      <c r="X30" s="5">
        <v>-0.4</v>
      </c>
      <c r="Y30" s="2"/>
      <c r="Z30" s="5">
        <v>0</v>
      </c>
      <c r="AA30" s="5">
        <v>-0.11</v>
      </c>
      <c r="AB30" s="5">
        <v>-0.11</v>
      </c>
      <c r="AC30" s="5">
        <v>0</v>
      </c>
      <c r="AD30" s="5">
        <v>-0.11</v>
      </c>
      <c r="AE30" s="5">
        <v>-0.11</v>
      </c>
      <c r="AF30" s="5">
        <v>0</v>
      </c>
      <c r="AG30" s="2"/>
      <c r="AH30" s="2"/>
      <c r="AI30" s="2"/>
      <c r="AJ30" s="5">
        <v>0.1</v>
      </c>
      <c r="AK30" s="5">
        <v>0.1</v>
      </c>
      <c r="AL30" s="5">
        <v>0</v>
      </c>
      <c r="AM30" s="5">
        <v>0.1125</v>
      </c>
      <c r="AN30" s="6">
        <v>158</v>
      </c>
    </row>
    <row r="31" spans="1:40" x14ac:dyDescent="0.25">
      <c r="A31" s="10" t="s">
        <v>64</v>
      </c>
      <c r="B31" s="10" t="s">
        <v>67</v>
      </c>
      <c r="C31" s="9" t="s">
        <v>69</v>
      </c>
      <c r="D31" s="9" t="s">
        <v>69</v>
      </c>
      <c r="E31" s="5">
        <v>0.82</v>
      </c>
      <c r="F31" s="5">
        <v>0.25</v>
      </c>
      <c r="G31" s="5">
        <v>7.5999999999999998E-2</v>
      </c>
      <c r="H31" s="5">
        <v>6.6000000000000003E-2</v>
      </c>
      <c r="I31" s="5">
        <v>0.86899999999999999</v>
      </c>
      <c r="J31" s="6">
        <v>5</v>
      </c>
      <c r="K31" s="5">
        <v>-0.28599999999999998</v>
      </c>
      <c r="L31" s="6">
        <v>44</v>
      </c>
      <c r="M31" s="6">
        <v>-8</v>
      </c>
      <c r="N31" s="6">
        <v>42339</v>
      </c>
      <c r="O31" s="6">
        <v>47243</v>
      </c>
      <c r="P31" s="6">
        <f t="shared" si="0"/>
        <v>-4904</v>
      </c>
      <c r="Q31" s="5">
        <v>-0.104</v>
      </c>
      <c r="R31" s="6">
        <v>3599</v>
      </c>
      <c r="S31" s="6">
        <v>6113</v>
      </c>
      <c r="T31" s="5">
        <v>-0.41099999999999998</v>
      </c>
      <c r="U31" s="6">
        <v>719.83</v>
      </c>
      <c r="V31" s="5">
        <v>-0.17599999999999999</v>
      </c>
      <c r="W31" s="6">
        <v>48546</v>
      </c>
      <c r="X31" s="5">
        <v>-7.1999999999999995E-2</v>
      </c>
      <c r="Y31" s="5">
        <v>0</v>
      </c>
      <c r="Z31" s="5">
        <v>0.79900000000000004</v>
      </c>
      <c r="AA31" s="5">
        <v>0.81399999999999995</v>
      </c>
      <c r="AB31" s="5">
        <v>0.71699999999999997</v>
      </c>
      <c r="AC31" s="5">
        <v>9.7000000000000003E-2</v>
      </c>
      <c r="AD31" s="5">
        <v>0.81399999999999995</v>
      </c>
      <c r="AE31" s="5">
        <v>0.71599999999999997</v>
      </c>
      <c r="AF31" s="5">
        <v>9.8000000000000004E-2</v>
      </c>
      <c r="AG31" s="5">
        <v>0.56799999999999995</v>
      </c>
      <c r="AH31" s="5">
        <v>1.6459999999999999</v>
      </c>
      <c r="AI31" s="5">
        <v>-1.0780000000000001</v>
      </c>
      <c r="AJ31" s="5">
        <v>1.0149999999999999</v>
      </c>
      <c r="AK31" s="5">
        <v>0.91800000000000004</v>
      </c>
      <c r="AL31" s="5">
        <v>9.7000000000000003E-2</v>
      </c>
      <c r="AM31" s="5">
        <v>1.1537999999999999</v>
      </c>
      <c r="AN31" s="6">
        <v>-7469</v>
      </c>
    </row>
    <row r="32" spans="1:40" x14ac:dyDescent="0.25">
      <c r="A32" s="10" t="s">
        <v>64</v>
      </c>
      <c r="B32" s="10" t="s">
        <v>67</v>
      </c>
      <c r="C32" s="3" t="s">
        <v>45</v>
      </c>
      <c r="D32" s="3"/>
      <c r="E32" s="7">
        <v>0.81399999999999995</v>
      </c>
      <c r="F32" s="7">
        <v>0.26400000000000001</v>
      </c>
      <c r="G32" s="7">
        <v>7.5999999999999998E-2</v>
      </c>
      <c r="H32" s="7">
        <v>6.6000000000000003E-2</v>
      </c>
      <c r="I32" s="7">
        <v>0.86899999999999999</v>
      </c>
      <c r="J32" s="8">
        <v>5</v>
      </c>
      <c r="K32" s="7">
        <v>-0.28599999999999998</v>
      </c>
      <c r="L32" s="8">
        <v>44</v>
      </c>
      <c r="M32" s="8">
        <v>-9</v>
      </c>
      <c r="N32" s="8">
        <v>42339</v>
      </c>
      <c r="O32" s="8">
        <v>47576</v>
      </c>
      <c r="P32" s="8">
        <f t="shared" si="0"/>
        <v>-5237</v>
      </c>
      <c r="Q32" s="7">
        <v>-0.11</v>
      </c>
      <c r="R32" s="8">
        <v>3599</v>
      </c>
      <c r="S32" s="8">
        <v>6113</v>
      </c>
      <c r="T32" s="7">
        <v>-0.41099999999999998</v>
      </c>
      <c r="U32" s="8">
        <v>719.83</v>
      </c>
      <c r="V32" s="7">
        <v>-0.17599999999999999</v>
      </c>
      <c r="W32" s="8">
        <v>48724</v>
      </c>
      <c r="X32" s="7">
        <v>-7.3999999999999996E-2</v>
      </c>
      <c r="Y32" s="7">
        <v>0</v>
      </c>
      <c r="Z32" s="7">
        <v>0.79600000000000004</v>
      </c>
      <c r="AA32" s="7">
        <v>0.81100000000000005</v>
      </c>
      <c r="AB32" s="7">
        <v>0.71299999999999997</v>
      </c>
      <c r="AC32" s="7">
        <v>9.9000000000000005E-2</v>
      </c>
      <c r="AD32" s="7">
        <v>0.81100000000000005</v>
      </c>
      <c r="AE32" s="7">
        <v>0.71199999999999997</v>
      </c>
      <c r="AF32" s="7">
        <v>9.9000000000000005E-2</v>
      </c>
      <c r="AG32" s="7">
        <v>0.56799999999999995</v>
      </c>
      <c r="AH32" s="7">
        <v>1.6459999999999999</v>
      </c>
      <c r="AI32" s="7">
        <v>-1.0780000000000001</v>
      </c>
      <c r="AJ32" s="7">
        <v>1.012</v>
      </c>
      <c r="AK32" s="7">
        <v>0.91300000000000003</v>
      </c>
      <c r="AL32" s="7">
        <v>9.9000000000000005E-2</v>
      </c>
      <c r="AM32" s="7">
        <v>1.1499999999999999</v>
      </c>
      <c r="AN32" s="8">
        <v>-7311</v>
      </c>
    </row>
    <row r="33" spans="1:40" x14ac:dyDescent="0.25">
      <c r="A33" s="10" t="s">
        <v>64</v>
      </c>
      <c r="B33" s="10" t="s">
        <v>70</v>
      </c>
      <c r="C33" s="9" t="s">
        <v>58</v>
      </c>
      <c r="D33" s="9" t="s">
        <v>71</v>
      </c>
      <c r="E33" s="5">
        <v>0.91400000000000003</v>
      </c>
      <c r="F33" s="5">
        <v>0.12</v>
      </c>
      <c r="G33" s="5">
        <v>0.183</v>
      </c>
      <c r="H33" s="5">
        <v>0.161</v>
      </c>
      <c r="I33" s="5">
        <v>0.877</v>
      </c>
      <c r="J33" s="6">
        <v>11</v>
      </c>
      <c r="K33" s="5">
        <v>0.83299999999999996</v>
      </c>
      <c r="L33" s="6">
        <v>55</v>
      </c>
      <c r="M33" s="6">
        <v>5</v>
      </c>
      <c r="N33" s="6">
        <v>57725</v>
      </c>
      <c r="O33" s="6">
        <v>52614</v>
      </c>
      <c r="P33" s="6">
        <f t="shared" si="0"/>
        <v>5111</v>
      </c>
      <c r="Q33" s="5">
        <v>9.7000000000000003E-2</v>
      </c>
      <c r="R33" s="6">
        <v>9638</v>
      </c>
      <c r="S33" s="6">
        <v>2629</v>
      </c>
      <c r="T33" s="5">
        <v>2.6659999999999999</v>
      </c>
      <c r="U33" s="6">
        <v>963.53</v>
      </c>
      <c r="V33" s="5">
        <v>0.84299999999999997</v>
      </c>
      <c r="W33" s="6">
        <v>55291</v>
      </c>
      <c r="X33" s="5">
        <v>2.8000000000000001E-2</v>
      </c>
      <c r="Y33" s="5">
        <v>4.0000000000000001E-3</v>
      </c>
      <c r="Z33" s="5">
        <v>2.7E-2</v>
      </c>
      <c r="AA33" s="5">
        <v>0.247</v>
      </c>
      <c r="AB33" s="5">
        <v>0.23400000000000001</v>
      </c>
      <c r="AC33" s="5">
        <v>1.2999999999999999E-2</v>
      </c>
      <c r="AD33" s="5">
        <v>0.247</v>
      </c>
      <c r="AE33" s="5">
        <v>0.23400000000000001</v>
      </c>
      <c r="AF33" s="5">
        <v>1.2999999999999999E-2</v>
      </c>
      <c r="AG33" s="5">
        <v>0</v>
      </c>
      <c r="AH33" s="5">
        <v>0</v>
      </c>
      <c r="AI33" s="5">
        <v>0</v>
      </c>
      <c r="AJ33" s="5">
        <v>0.44800000000000001</v>
      </c>
      <c r="AK33" s="5">
        <v>0.433</v>
      </c>
      <c r="AL33" s="5">
        <v>1.4999999999999999E-2</v>
      </c>
      <c r="AM33" s="5">
        <v>0.56179999999999997</v>
      </c>
      <c r="AN33" s="6">
        <v>24228</v>
      </c>
    </row>
    <row r="34" spans="1:40" x14ac:dyDescent="0.25">
      <c r="A34" s="10" t="s">
        <v>64</v>
      </c>
      <c r="B34" s="10" t="s">
        <v>70</v>
      </c>
      <c r="C34" s="3" t="s">
        <v>45</v>
      </c>
      <c r="D34" s="3"/>
      <c r="E34" s="7">
        <v>0.91400000000000003</v>
      </c>
      <c r="F34" s="7">
        <v>0.12</v>
      </c>
      <c r="G34" s="7">
        <v>0.183</v>
      </c>
      <c r="H34" s="7">
        <v>0.161</v>
      </c>
      <c r="I34" s="7">
        <v>0.877</v>
      </c>
      <c r="J34" s="8">
        <v>11</v>
      </c>
      <c r="K34" s="7">
        <v>0.83299999999999996</v>
      </c>
      <c r="L34" s="8">
        <v>55</v>
      </c>
      <c r="M34" s="8">
        <v>5</v>
      </c>
      <c r="N34" s="8">
        <v>57725</v>
      </c>
      <c r="O34" s="8">
        <v>52614</v>
      </c>
      <c r="P34" s="8">
        <f t="shared" si="0"/>
        <v>5111</v>
      </c>
      <c r="Q34" s="7">
        <v>9.7000000000000003E-2</v>
      </c>
      <c r="R34" s="8">
        <v>9638</v>
      </c>
      <c r="S34" s="8">
        <v>2629</v>
      </c>
      <c r="T34" s="7">
        <v>2.6659999999999999</v>
      </c>
      <c r="U34" s="8">
        <v>963.53</v>
      </c>
      <c r="V34" s="7">
        <v>0.84299999999999997</v>
      </c>
      <c r="W34" s="8">
        <v>55291</v>
      </c>
      <c r="X34" s="7">
        <v>2.8000000000000001E-2</v>
      </c>
      <c r="Y34" s="7">
        <v>4.0000000000000001E-3</v>
      </c>
      <c r="Z34" s="7">
        <v>2.7E-2</v>
      </c>
      <c r="AA34" s="7">
        <v>0.247</v>
      </c>
      <c r="AB34" s="7">
        <v>0.23400000000000001</v>
      </c>
      <c r="AC34" s="7">
        <v>1.2999999999999999E-2</v>
      </c>
      <c r="AD34" s="7">
        <v>0.247</v>
      </c>
      <c r="AE34" s="7">
        <v>0.23400000000000001</v>
      </c>
      <c r="AF34" s="7">
        <v>1.2999999999999999E-2</v>
      </c>
      <c r="AG34" s="7">
        <v>0</v>
      </c>
      <c r="AH34" s="7">
        <v>0</v>
      </c>
      <c r="AI34" s="7">
        <v>0</v>
      </c>
      <c r="AJ34" s="7">
        <v>0.44800000000000001</v>
      </c>
      <c r="AK34" s="7">
        <v>0.433</v>
      </c>
      <c r="AL34" s="7">
        <v>1.4999999999999999E-2</v>
      </c>
      <c r="AM34" s="7">
        <v>0.56179999999999997</v>
      </c>
      <c r="AN34" s="8">
        <v>24228</v>
      </c>
    </row>
    <row r="35" spans="1:40" x14ac:dyDescent="0.25">
      <c r="A35" s="10" t="s">
        <v>64</v>
      </c>
      <c r="B35" s="10" t="s">
        <v>72</v>
      </c>
      <c r="C35" s="9" t="s">
        <v>73</v>
      </c>
      <c r="D35" s="9" t="s">
        <v>74</v>
      </c>
      <c r="E35" s="5">
        <v>0.95</v>
      </c>
      <c r="F35" s="5">
        <v>0</v>
      </c>
      <c r="G35" s="5">
        <v>9.8000000000000004E-2</v>
      </c>
      <c r="H35" s="5">
        <v>4.5999999999999999E-2</v>
      </c>
      <c r="I35" s="5">
        <v>0.46600000000000003</v>
      </c>
      <c r="J35" s="6">
        <v>2</v>
      </c>
      <c r="K35" s="5">
        <v>0</v>
      </c>
      <c r="L35" s="6">
        <v>16</v>
      </c>
      <c r="M35" s="6">
        <v>2</v>
      </c>
      <c r="N35" s="6">
        <v>7073</v>
      </c>
      <c r="O35" s="6">
        <v>6753</v>
      </c>
      <c r="P35" s="6">
        <f t="shared" si="0"/>
        <v>320</v>
      </c>
      <c r="Q35" s="5">
        <v>4.7E-2</v>
      </c>
      <c r="R35" s="6">
        <v>660</v>
      </c>
      <c r="S35" s="6">
        <v>625</v>
      </c>
      <c r="T35" s="5">
        <v>5.7000000000000002E-2</v>
      </c>
      <c r="U35" s="6">
        <v>2410.17</v>
      </c>
      <c r="V35" s="5">
        <v>3.5779999999999998</v>
      </c>
      <c r="W35" s="6">
        <v>6111</v>
      </c>
      <c r="X35" s="5">
        <v>8.0000000000000002E-3</v>
      </c>
      <c r="Y35" s="5">
        <v>0</v>
      </c>
      <c r="Z35" s="5">
        <v>0</v>
      </c>
      <c r="AA35" s="5">
        <v>4.1000000000000002E-2</v>
      </c>
      <c r="AB35" s="5">
        <v>4.1000000000000002E-2</v>
      </c>
      <c r="AC35" s="5">
        <v>0</v>
      </c>
      <c r="AD35" s="5">
        <v>4.1000000000000002E-2</v>
      </c>
      <c r="AE35" s="5">
        <v>4.1000000000000002E-2</v>
      </c>
      <c r="AF35" s="5">
        <v>0</v>
      </c>
      <c r="AG35" s="5">
        <v>0</v>
      </c>
      <c r="AH35" s="5">
        <v>0</v>
      </c>
      <c r="AI35" s="5">
        <v>0</v>
      </c>
      <c r="AJ35" s="5">
        <v>0.192</v>
      </c>
      <c r="AK35" s="5">
        <v>0.191</v>
      </c>
      <c r="AL35" s="5">
        <v>0</v>
      </c>
      <c r="AM35" s="5">
        <v>0.29549999999999998</v>
      </c>
      <c r="AN35" s="6">
        <v>4305</v>
      </c>
    </row>
    <row r="36" spans="1:40" x14ac:dyDescent="0.25">
      <c r="A36" s="10" t="s">
        <v>64</v>
      </c>
      <c r="B36" s="10" t="s">
        <v>72</v>
      </c>
      <c r="C36" s="3" t="s">
        <v>45</v>
      </c>
      <c r="D36" s="3"/>
      <c r="E36" s="7">
        <v>0.95</v>
      </c>
      <c r="F36" s="7">
        <v>0</v>
      </c>
      <c r="G36" s="7">
        <v>9.8000000000000004E-2</v>
      </c>
      <c r="H36" s="7">
        <v>4.5999999999999999E-2</v>
      </c>
      <c r="I36" s="7">
        <v>0.46600000000000003</v>
      </c>
      <c r="J36" s="8">
        <v>2</v>
      </c>
      <c r="K36" s="7">
        <v>0</v>
      </c>
      <c r="L36" s="8">
        <v>16</v>
      </c>
      <c r="M36" s="8">
        <v>2</v>
      </c>
      <c r="N36" s="8">
        <v>7073</v>
      </c>
      <c r="O36" s="8">
        <v>6753</v>
      </c>
      <c r="P36" s="8">
        <f t="shared" si="0"/>
        <v>320</v>
      </c>
      <c r="Q36" s="7">
        <v>4.7E-2</v>
      </c>
      <c r="R36" s="8">
        <v>660</v>
      </c>
      <c r="S36" s="8">
        <v>625</v>
      </c>
      <c r="T36" s="7">
        <v>5.7000000000000002E-2</v>
      </c>
      <c r="U36" s="8">
        <v>2410.17</v>
      </c>
      <c r="V36" s="7">
        <v>3.5779999999999998</v>
      </c>
      <c r="W36" s="8">
        <v>6111</v>
      </c>
      <c r="X36" s="7">
        <v>8.0000000000000002E-3</v>
      </c>
      <c r="Y36" s="7">
        <v>0</v>
      </c>
      <c r="Z36" s="7">
        <v>0</v>
      </c>
      <c r="AA36" s="7">
        <v>4.1000000000000002E-2</v>
      </c>
      <c r="AB36" s="7">
        <v>4.1000000000000002E-2</v>
      </c>
      <c r="AC36" s="7">
        <v>0</v>
      </c>
      <c r="AD36" s="7">
        <v>4.1000000000000002E-2</v>
      </c>
      <c r="AE36" s="7">
        <v>4.1000000000000002E-2</v>
      </c>
      <c r="AF36" s="7">
        <v>0</v>
      </c>
      <c r="AG36" s="7">
        <v>0</v>
      </c>
      <c r="AH36" s="7">
        <v>0</v>
      </c>
      <c r="AI36" s="7">
        <v>0</v>
      </c>
      <c r="AJ36" s="7">
        <v>0.192</v>
      </c>
      <c r="AK36" s="7">
        <v>0.191</v>
      </c>
      <c r="AL36" s="7">
        <v>0</v>
      </c>
      <c r="AM36" s="7">
        <v>0.29549999999999998</v>
      </c>
      <c r="AN36" s="8">
        <v>4305</v>
      </c>
    </row>
    <row r="37" spans="1:40" x14ac:dyDescent="0.25">
      <c r="A37" s="10" t="s">
        <v>64</v>
      </c>
      <c r="B37" s="10" t="s">
        <v>49</v>
      </c>
      <c r="C37" s="9" t="s">
        <v>75</v>
      </c>
      <c r="D37" s="9" t="s">
        <v>75</v>
      </c>
      <c r="E37" s="5">
        <v>0.97899999999999998</v>
      </c>
      <c r="F37" s="5">
        <v>0.1</v>
      </c>
      <c r="G37" s="5">
        <v>6.6000000000000003E-2</v>
      </c>
      <c r="H37" s="5">
        <v>0.04</v>
      </c>
      <c r="I37" s="5">
        <v>0.60899999999999999</v>
      </c>
      <c r="J37" s="6">
        <v>3</v>
      </c>
      <c r="K37" s="5">
        <v>-0.625</v>
      </c>
      <c r="L37" s="6">
        <v>66</v>
      </c>
      <c r="M37" s="6">
        <v>-4</v>
      </c>
      <c r="N37" s="6">
        <v>32212</v>
      </c>
      <c r="O37" s="6">
        <v>30798</v>
      </c>
      <c r="P37" s="6">
        <f t="shared" si="0"/>
        <v>1414</v>
      </c>
      <c r="Q37" s="5">
        <v>4.5999999999999999E-2</v>
      </c>
      <c r="R37" s="6">
        <v>2047</v>
      </c>
      <c r="S37" s="6">
        <v>3965</v>
      </c>
      <c r="T37" s="5">
        <v>-0.48399999999999999</v>
      </c>
      <c r="U37" s="6">
        <v>682.23</v>
      </c>
      <c r="V37" s="5">
        <v>0.377</v>
      </c>
      <c r="W37" s="6">
        <v>32511</v>
      </c>
      <c r="X37" s="5">
        <v>1.0999999999999999E-2</v>
      </c>
      <c r="Y37" s="5">
        <v>2E-3</v>
      </c>
      <c r="Z37" s="5">
        <v>1.103</v>
      </c>
      <c r="AA37" s="5">
        <v>1.153</v>
      </c>
      <c r="AB37" s="5">
        <v>1.006</v>
      </c>
      <c r="AC37" s="5">
        <v>0.14699999999999999</v>
      </c>
      <c r="AD37" s="5">
        <v>1.153</v>
      </c>
      <c r="AE37" s="5">
        <v>1.006</v>
      </c>
      <c r="AF37" s="5">
        <v>0.14699999999999999</v>
      </c>
      <c r="AG37" s="5">
        <v>0</v>
      </c>
      <c r="AH37" s="5">
        <v>1.212</v>
      </c>
      <c r="AI37" s="5">
        <v>-1.212</v>
      </c>
      <c r="AJ37" s="5">
        <v>1.35</v>
      </c>
      <c r="AK37" s="5">
        <v>1.208</v>
      </c>
      <c r="AL37" s="5">
        <v>0.14199999999999999</v>
      </c>
      <c r="AM37" s="5">
        <v>1.5125999999999999</v>
      </c>
      <c r="AN37" s="6">
        <v>-16665</v>
      </c>
    </row>
    <row r="38" spans="1:40" x14ac:dyDescent="0.25">
      <c r="A38" s="10" t="s">
        <v>64</v>
      </c>
      <c r="B38" s="10" t="s">
        <v>49</v>
      </c>
      <c r="C38" s="9" t="s">
        <v>76</v>
      </c>
      <c r="D38" s="9" t="s">
        <v>76</v>
      </c>
      <c r="E38" s="5">
        <v>0.94099999999999995</v>
      </c>
      <c r="F38" s="5">
        <v>9.4E-2</v>
      </c>
      <c r="G38" s="5">
        <v>0.184</v>
      </c>
      <c r="H38" s="5">
        <v>0.11700000000000001</v>
      </c>
      <c r="I38" s="5">
        <v>0.63600000000000001</v>
      </c>
      <c r="J38" s="6">
        <v>5</v>
      </c>
      <c r="K38" s="5">
        <v>4</v>
      </c>
      <c r="L38" s="6">
        <v>34</v>
      </c>
      <c r="M38" s="6">
        <v>2</v>
      </c>
      <c r="N38" s="6">
        <v>7779</v>
      </c>
      <c r="O38" s="6">
        <v>6911</v>
      </c>
      <c r="P38" s="6">
        <f t="shared" si="0"/>
        <v>868</v>
      </c>
      <c r="Q38" s="5">
        <v>0.126</v>
      </c>
      <c r="R38" s="6">
        <v>1274</v>
      </c>
      <c r="S38" s="6">
        <v>188</v>
      </c>
      <c r="T38" s="5">
        <v>5.7789999999999999</v>
      </c>
      <c r="U38" s="6">
        <v>254.73</v>
      </c>
      <c r="V38" s="5">
        <v>0.35599999999999998</v>
      </c>
      <c r="W38" s="6">
        <v>7422</v>
      </c>
      <c r="X38" s="5">
        <v>9.5000000000000001E-2</v>
      </c>
      <c r="Y38" s="5">
        <v>0</v>
      </c>
      <c r="Z38" s="5">
        <v>0.42099999999999999</v>
      </c>
      <c r="AA38" s="5">
        <v>0.46400000000000002</v>
      </c>
      <c r="AB38" s="5">
        <v>0.58499999999999996</v>
      </c>
      <c r="AC38" s="5">
        <v>-0.121</v>
      </c>
      <c r="AD38" s="5">
        <v>0.46400000000000002</v>
      </c>
      <c r="AE38" s="5">
        <v>0.58499999999999996</v>
      </c>
      <c r="AF38" s="5">
        <v>-0.121</v>
      </c>
      <c r="AG38" s="5">
        <v>3.6560000000000001</v>
      </c>
      <c r="AH38" s="5">
        <v>0</v>
      </c>
      <c r="AI38" s="5">
        <v>3.6560000000000001</v>
      </c>
      <c r="AJ38" s="5">
        <v>0.71299999999999997</v>
      </c>
      <c r="AK38" s="5">
        <v>0.83599999999999997</v>
      </c>
      <c r="AL38" s="5">
        <v>-0.123</v>
      </c>
      <c r="AM38" s="5">
        <v>0.93899999999999995</v>
      </c>
      <c r="AN38" s="6">
        <v>453</v>
      </c>
    </row>
    <row r="39" spans="1:40" x14ac:dyDescent="0.25">
      <c r="A39" s="10" t="s">
        <v>64</v>
      </c>
      <c r="B39" s="10" t="s">
        <v>49</v>
      </c>
      <c r="C39" s="3" t="s">
        <v>45</v>
      </c>
      <c r="D39" s="3"/>
      <c r="E39" s="7">
        <v>0.97199999999999998</v>
      </c>
      <c r="F39" s="7">
        <v>9.8000000000000004E-2</v>
      </c>
      <c r="G39" s="7">
        <v>8.7999999999999995E-2</v>
      </c>
      <c r="H39" s="7">
        <v>5.5E-2</v>
      </c>
      <c r="I39" s="7">
        <v>0.62</v>
      </c>
      <c r="J39" s="8">
        <v>8</v>
      </c>
      <c r="K39" s="7">
        <v>-0.111</v>
      </c>
      <c r="L39" s="8">
        <v>100</v>
      </c>
      <c r="M39" s="8">
        <v>-2</v>
      </c>
      <c r="N39" s="8">
        <v>39991</v>
      </c>
      <c r="O39" s="8">
        <v>37708</v>
      </c>
      <c r="P39" s="8">
        <f t="shared" si="0"/>
        <v>2283</v>
      </c>
      <c r="Q39" s="7">
        <v>6.0999999999999999E-2</v>
      </c>
      <c r="R39" s="8">
        <v>3320</v>
      </c>
      <c r="S39" s="8">
        <v>4153</v>
      </c>
      <c r="T39" s="7">
        <v>-0.2</v>
      </c>
      <c r="U39" s="8">
        <v>415.04</v>
      </c>
      <c r="V39" s="7">
        <v>-0.1</v>
      </c>
      <c r="W39" s="8">
        <v>39934</v>
      </c>
      <c r="X39" s="7">
        <v>2.5999999999999999E-2</v>
      </c>
      <c r="Y39" s="7">
        <v>2E-3</v>
      </c>
      <c r="Z39" s="7">
        <v>0.97599999999999998</v>
      </c>
      <c r="AA39" s="7">
        <v>1.0249999999999999</v>
      </c>
      <c r="AB39" s="7">
        <v>0.93200000000000005</v>
      </c>
      <c r="AC39" s="7">
        <v>9.1999999999999998E-2</v>
      </c>
      <c r="AD39" s="7">
        <v>1.0249999999999999</v>
      </c>
      <c r="AE39" s="7">
        <v>0.93200000000000005</v>
      </c>
      <c r="AF39" s="7">
        <v>9.1999999999999998E-2</v>
      </c>
      <c r="AG39" s="7">
        <v>1.7729999999999999</v>
      </c>
      <c r="AH39" s="7">
        <v>1.147</v>
      </c>
      <c r="AI39" s="7">
        <v>0.626</v>
      </c>
      <c r="AJ39" s="7">
        <v>1.2310000000000001</v>
      </c>
      <c r="AK39" s="7">
        <v>1.143</v>
      </c>
      <c r="AL39" s="7">
        <v>8.7999999999999995E-2</v>
      </c>
      <c r="AM39" s="7">
        <v>1.4059999999999999</v>
      </c>
      <c r="AN39" s="8">
        <v>-16212</v>
      </c>
    </row>
    <row r="40" spans="1:40" x14ac:dyDescent="0.25">
      <c r="A40" s="10" t="s">
        <v>64</v>
      </c>
      <c r="B40" s="10" t="s">
        <v>77</v>
      </c>
      <c r="C40" s="9" t="s">
        <v>77</v>
      </c>
      <c r="D40" s="9" t="s">
        <v>78</v>
      </c>
      <c r="E40" s="5">
        <v>0.80900000000000005</v>
      </c>
      <c r="F40" s="5">
        <v>0.222</v>
      </c>
      <c r="G40" s="5">
        <v>0.247</v>
      </c>
      <c r="H40" s="5">
        <v>0.183</v>
      </c>
      <c r="I40" s="5">
        <v>0.74099999999999999</v>
      </c>
      <c r="J40" s="6">
        <v>2</v>
      </c>
      <c r="K40" s="5">
        <v>0</v>
      </c>
      <c r="L40" s="6">
        <v>9</v>
      </c>
      <c r="M40" s="6">
        <v>0</v>
      </c>
      <c r="N40" s="6">
        <v>5966</v>
      </c>
      <c r="O40" s="6">
        <v>5651</v>
      </c>
      <c r="P40" s="6">
        <f t="shared" si="0"/>
        <v>315</v>
      </c>
      <c r="Q40" s="5">
        <v>5.6000000000000001E-2</v>
      </c>
      <c r="R40" s="6">
        <v>1394</v>
      </c>
      <c r="S40" s="6">
        <v>406</v>
      </c>
      <c r="T40" s="5">
        <v>2.4340000000000002</v>
      </c>
      <c r="U40" s="6">
        <v>697.15</v>
      </c>
      <c r="V40" s="5">
        <v>0.80600000000000005</v>
      </c>
      <c r="W40" s="6">
        <v>4734</v>
      </c>
      <c r="X40" s="5">
        <v>-0.11799999999999999</v>
      </c>
      <c r="Y40" s="5">
        <v>0</v>
      </c>
      <c r="Z40" s="5">
        <v>0</v>
      </c>
      <c r="AA40" s="5">
        <v>3.5999999999999997E-2</v>
      </c>
      <c r="AB40" s="5">
        <v>0.315</v>
      </c>
      <c r="AC40" s="5">
        <v>-0.27900000000000003</v>
      </c>
      <c r="AD40" s="5">
        <v>3.5999999999999997E-2</v>
      </c>
      <c r="AE40" s="5">
        <v>0.315</v>
      </c>
      <c r="AF40" s="5">
        <v>-0.27900000000000003</v>
      </c>
      <c r="AG40" s="5">
        <v>0</v>
      </c>
      <c r="AH40" s="5">
        <v>0</v>
      </c>
      <c r="AI40" s="5">
        <v>0</v>
      </c>
      <c r="AJ40" s="5">
        <v>0.21099999999999999</v>
      </c>
      <c r="AK40" s="5">
        <v>0.49</v>
      </c>
      <c r="AL40" s="5">
        <v>-0.27900000000000003</v>
      </c>
      <c r="AM40" s="5">
        <v>0.31190000000000001</v>
      </c>
      <c r="AN40" s="6">
        <v>3257</v>
      </c>
    </row>
    <row r="41" spans="1:40" x14ac:dyDescent="0.25">
      <c r="A41" s="10" t="s">
        <v>64</v>
      </c>
      <c r="B41" s="10" t="s">
        <v>77</v>
      </c>
      <c r="C41" s="3" t="s">
        <v>45</v>
      </c>
      <c r="D41" s="3"/>
      <c r="E41" s="7">
        <v>0.80900000000000005</v>
      </c>
      <c r="F41" s="7">
        <v>0.222</v>
      </c>
      <c r="G41" s="7">
        <v>0.247</v>
      </c>
      <c r="H41" s="7">
        <v>0.183</v>
      </c>
      <c r="I41" s="7">
        <v>0.74099999999999999</v>
      </c>
      <c r="J41" s="8">
        <v>2</v>
      </c>
      <c r="K41" s="7">
        <v>0</v>
      </c>
      <c r="L41" s="8">
        <v>9</v>
      </c>
      <c r="M41" s="8">
        <v>0</v>
      </c>
      <c r="N41" s="8">
        <v>5966</v>
      </c>
      <c r="O41" s="8">
        <v>5651</v>
      </c>
      <c r="P41" s="8">
        <f t="shared" si="0"/>
        <v>315</v>
      </c>
      <c r="Q41" s="7">
        <v>5.6000000000000001E-2</v>
      </c>
      <c r="R41" s="8">
        <v>1394</v>
      </c>
      <c r="S41" s="8">
        <v>406</v>
      </c>
      <c r="T41" s="7">
        <v>2.4340000000000002</v>
      </c>
      <c r="U41" s="8">
        <v>697.15</v>
      </c>
      <c r="V41" s="7">
        <v>0.80600000000000005</v>
      </c>
      <c r="W41" s="8">
        <v>4734</v>
      </c>
      <c r="X41" s="7">
        <v>-0.11799999999999999</v>
      </c>
      <c r="Y41" s="7">
        <v>0</v>
      </c>
      <c r="Z41" s="7">
        <v>0</v>
      </c>
      <c r="AA41" s="7">
        <v>3.5999999999999997E-2</v>
      </c>
      <c r="AB41" s="7">
        <v>0.315</v>
      </c>
      <c r="AC41" s="7">
        <v>-0.27900000000000003</v>
      </c>
      <c r="AD41" s="7">
        <v>3.5999999999999997E-2</v>
      </c>
      <c r="AE41" s="7">
        <v>0.315</v>
      </c>
      <c r="AF41" s="7">
        <v>-0.27900000000000003</v>
      </c>
      <c r="AG41" s="7">
        <v>0</v>
      </c>
      <c r="AH41" s="7">
        <v>0</v>
      </c>
      <c r="AI41" s="7">
        <v>0</v>
      </c>
      <c r="AJ41" s="7">
        <v>0.21099999999999999</v>
      </c>
      <c r="AK41" s="7">
        <v>0.49</v>
      </c>
      <c r="AL41" s="7">
        <v>-0.27900000000000003</v>
      </c>
      <c r="AM41" s="7">
        <v>0.31190000000000001</v>
      </c>
      <c r="AN41" s="8">
        <v>3257</v>
      </c>
    </row>
    <row r="42" spans="1:40" x14ac:dyDescent="0.25">
      <c r="A42" s="10" t="s">
        <v>64</v>
      </c>
      <c r="B42" s="3" t="s">
        <v>45</v>
      </c>
      <c r="C42" s="3"/>
      <c r="D42" s="3"/>
      <c r="E42" s="7">
        <v>0.77500000000000002</v>
      </c>
      <c r="F42" s="7">
        <v>0.16900000000000001</v>
      </c>
      <c r="G42" s="7">
        <v>0.188</v>
      </c>
      <c r="H42" s="7">
        <v>0.16400000000000001</v>
      </c>
      <c r="I42" s="7">
        <v>0.87</v>
      </c>
      <c r="J42" s="8">
        <v>78</v>
      </c>
      <c r="K42" s="7">
        <v>0.2</v>
      </c>
      <c r="L42" s="8">
        <v>392</v>
      </c>
      <c r="M42" s="8">
        <v>14</v>
      </c>
      <c r="N42" s="8">
        <v>177481</v>
      </c>
      <c r="O42" s="8">
        <v>184142</v>
      </c>
      <c r="P42" s="8">
        <f t="shared" si="0"/>
        <v>-6661</v>
      </c>
      <c r="Q42" s="7">
        <v>-3.5999999999999997E-2</v>
      </c>
      <c r="R42" s="8">
        <v>34695</v>
      </c>
      <c r="S42" s="8">
        <v>26604</v>
      </c>
      <c r="T42" s="7">
        <v>0.30399999999999999</v>
      </c>
      <c r="U42" s="8">
        <v>467.79</v>
      </c>
      <c r="V42" s="7">
        <v>0.105</v>
      </c>
      <c r="W42" s="8">
        <v>198492</v>
      </c>
      <c r="X42" s="7">
        <v>1E-3</v>
      </c>
      <c r="Y42" s="7">
        <v>2E-3</v>
      </c>
      <c r="Z42" s="7">
        <v>0.48199999999999998</v>
      </c>
      <c r="AA42" s="7">
        <v>0.57499999999999996</v>
      </c>
      <c r="AB42" s="7">
        <v>0.57399999999999995</v>
      </c>
      <c r="AC42" s="7">
        <v>2E-3</v>
      </c>
      <c r="AD42" s="7">
        <v>0.57499999999999996</v>
      </c>
      <c r="AE42" s="7">
        <v>0.57299999999999995</v>
      </c>
      <c r="AF42" s="7">
        <v>2E-3</v>
      </c>
      <c r="AG42" s="7">
        <v>0.17399999999999999</v>
      </c>
      <c r="AH42" s="7">
        <v>0.45400000000000001</v>
      </c>
      <c r="AI42" s="7">
        <v>-0.28100000000000003</v>
      </c>
      <c r="AJ42" s="7">
        <v>0.753</v>
      </c>
      <c r="AK42" s="7">
        <v>0.752</v>
      </c>
      <c r="AL42" s="7">
        <v>1E-3</v>
      </c>
      <c r="AM42" s="7">
        <v>0.8901</v>
      </c>
      <c r="AN42" s="8">
        <v>21822</v>
      </c>
    </row>
    <row r="43" spans="1:40" x14ac:dyDescent="0.25">
      <c r="A43" s="9" t="s">
        <v>79</v>
      </c>
      <c r="B43" s="9" t="s">
        <v>79</v>
      </c>
      <c r="C43" s="9" t="s">
        <v>79</v>
      </c>
      <c r="D43" s="9" t="s">
        <v>79</v>
      </c>
      <c r="E43" s="7">
        <v>0.874</v>
      </c>
      <c r="F43" s="7">
        <v>0.126</v>
      </c>
      <c r="G43" s="7">
        <v>0.14499999999999999</v>
      </c>
      <c r="H43" s="7">
        <v>0.107</v>
      </c>
      <c r="I43" s="7">
        <v>0.73799999999999999</v>
      </c>
      <c r="J43" s="8">
        <v>664</v>
      </c>
      <c r="K43" s="7">
        <v>0.28899999999999998</v>
      </c>
      <c r="L43" s="8">
        <v>4321</v>
      </c>
      <c r="M43" s="8">
        <v>136</v>
      </c>
      <c r="N43" s="8">
        <v>1261104</v>
      </c>
      <c r="O43" s="8">
        <v>1238305</v>
      </c>
      <c r="P43" s="8">
        <f t="shared" si="0"/>
        <v>22799</v>
      </c>
      <c r="Q43" s="7">
        <v>1.7999999999999999E-2</v>
      </c>
      <c r="R43" s="8">
        <v>179141</v>
      </c>
      <c r="S43" s="8">
        <v>152889</v>
      </c>
      <c r="T43" s="7">
        <v>0.17199999999999999</v>
      </c>
      <c r="U43" s="8">
        <v>278.99</v>
      </c>
      <c r="V43" s="7">
        <v>-0.105</v>
      </c>
      <c r="W43" s="8">
        <v>1292257</v>
      </c>
      <c r="X43" s="7">
        <v>2.1999999999999999E-2</v>
      </c>
      <c r="Y43" s="7">
        <v>1.2E-2</v>
      </c>
      <c r="Z43" s="7">
        <v>0.70799999999999996</v>
      </c>
      <c r="AA43" s="7">
        <v>0.74199999999999999</v>
      </c>
      <c r="AB43" s="7">
        <v>0.65600000000000003</v>
      </c>
      <c r="AC43" s="7">
        <v>8.5999999999999993E-2</v>
      </c>
      <c r="AD43" s="7">
        <v>0.74199999999999999</v>
      </c>
      <c r="AE43" s="7">
        <v>0.65400000000000003</v>
      </c>
      <c r="AF43" s="7">
        <v>8.7999999999999995E-2</v>
      </c>
      <c r="AG43" s="7">
        <v>0.65500000000000003</v>
      </c>
      <c r="AH43" s="7">
        <v>0.50700000000000001</v>
      </c>
      <c r="AI43" s="7">
        <v>0.14699999999999999</v>
      </c>
      <c r="AJ43" s="7">
        <v>0.86399999999999999</v>
      </c>
      <c r="AK43" s="7">
        <v>0.77900000000000003</v>
      </c>
      <c r="AL43" s="7">
        <v>8.5000000000000006E-2</v>
      </c>
      <c r="AM43" s="7">
        <v>1.0266</v>
      </c>
      <c r="AN43" s="8">
        <v>-34353</v>
      </c>
    </row>
    <row r="45" spans="1:40" x14ac:dyDescent="0.25">
      <c r="A45" t="s">
        <v>0</v>
      </c>
      <c r="B45" t="s">
        <v>0</v>
      </c>
      <c r="C45" t="s">
        <v>0</v>
      </c>
    </row>
    <row r="46" spans="1:40" x14ac:dyDescent="0.25">
      <c r="A46" s="4" t="s">
        <v>80</v>
      </c>
      <c r="B46" s="4" t="s">
        <v>81</v>
      </c>
    </row>
  </sheetData>
  <mergeCells count="18">
    <mergeCell ref="B30:B32"/>
    <mergeCell ref="B33:B34"/>
    <mergeCell ref="B35:B36"/>
    <mergeCell ref="B37:B39"/>
    <mergeCell ref="B40:B41"/>
    <mergeCell ref="C19:C20"/>
    <mergeCell ref="A4:AM4"/>
    <mergeCell ref="A5:AM5"/>
    <mergeCell ref="A7:A25"/>
    <mergeCell ref="A26:A42"/>
    <mergeCell ref="B7:B9"/>
    <mergeCell ref="B10:B11"/>
    <mergeCell ref="B12:B13"/>
    <mergeCell ref="B14:B15"/>
    <mergeCell ref="B16:B22"/>
    <mergeCell ref="B23:B24"/>
    <mergeCell ref="B26:B27"/>
    <mergeCell ref="B28:B29"/>
  </mergeCells>
  <pageMargins left="0.70866141732283472" right="0.70866141732283472" top="0.74803149606299213" bottom="0.74803149606299213" header="0.31496062992125984" footer="0.31496062992125984"/>
  <pageSetup paperSize="9" scale="69" fitToWidth="2" orientation="landscape" r:id="rId1"/>
  <headerFooter>
    <oddFooter>&amp;C&amp;1#&amp;"Calibri"&amp;10&amp;K000000Interno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79ED938DA1841B1A93392168D534D" ma:contentTypeVersion="11" ma:contentTypeDescription="Crée un document." ma:contentTypeScope="" ma:versionID="041d5e5c1e8ce2f485894dcec25fb3de">
  <xsd:schema xmlns:xsd="http://www.w3.org/2001/XMLSchema" xmlns:xs="http://www.w3.org/2001/XMLSchema" xmlns:p="http://schemas.microsoft.com/office/2006/metadata/properties" xmlns:ns2="93a38bf9-8a59-4a69-b731-c28848d2257d" xmlns:ns3="2c246f9f-e8c5-4b61-9e08-12b4b5d93b0e" targetNamespace="http://schemas.microsoft.com/office/2006/metadata/properties" ma:root="true" ma:fieldsID="c6cd4905bb92a502cec78e9369320c09" ns2:_="" ns3:_="">
    <xsd:import namespace="93a38bf9-8a59-4a69-b731-c28848d2257d"/>
    <xsd:import namespace="2c246f9f-e8c5-4b61-9e08-12b4b5d93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38bf9-8a59-4a69-b731-c28848d22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46f9f-e8c5-4b61-9e08-12b4b5d93b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0EB255-C37D-458B-A341-6848A381D1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C3FCA13-A152-44F3-B72A-61FDAADDB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38bf9-8a59-4a69-b731-c28848d2257d"/>
    <ds:schemaRef ds:uri="2c246f9f-e8c5-4b61-9e08-12b4b5d93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A5BB60-D2FC-47A0-9ECB-AAD2DA2883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Medor 742776</vt:lpstr>
    </vt:vector>
  </TitlesOfParts>
  <Manager/>
  <Company>AXA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Vilda Ahedo Iban</dc:creator>
  <cp:keywords/>
  <dc:description/>
  <cp:lastModifiedBy>Miguel Garcia Navarro</cp:lastModifiedBy>
  <cp:revision/>
  <cp:lastPrinted>2022-12-21T13:00:34Z</cp:lastPrinted>
  <dcterms:created xsi:type="dcterms:W3CDTF">2019-03-04T20:04:47Z</dcterms:created>
  <dcterms:modified xsi:type="dcterms:W3CDTF">2022-12-21T16:22:32Z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3072">
    <vt:lpwstr>32</vt:lpwstr>
  </property>
  <property fmtid="{D5CDD505-2E9C-101B-9397-08002B2CF9AE}" pid="3" name="ContentTypeId">
    <vt:lpwstr>0x0101008A479ED938DA1841B1A93392168D534D</vt:lpwstr>
  </property>
  <property fmtid="{D5CDD505-2E9C-101B-9397-08002B2CF9AE}" pid="4" name="MSIP_Label_432d5f8a-12aa-48f4-ac09-593b02e41a00_Enabled">
    <vt:lpwstr>true</vt:lpwstr>
  </property>
  <property fmtid="{D5CDD505-2E9C-101B-9397-08002B2CF9AE}" pid="5" name="MSIP_Label_432d5f8a-12aa-48f4-ac09-593b02e41a00_SetDate">
    <vt:lpwstr>2022-12-20T22:14:37Z</vt:lpwstr>
  </property>
  <property fmtid="{D5CDD505-2E9C-101B-9397-08002B2CF9AE}" pid="6" name="MSIP_Label_432d5f8a-12aa-48f4-ac09-593b02e41a00_Method">
    <vt:lpwstr>Standard</vt:lpwstr>
  </property>
  <property fmtid="{D5CDD505-2E9C-101B-9397-08002B2CF9AE}" pid="7" name="MSIP_Label_432d5f8a-12aa-48f4-ac09-593b02e41a00_Name">
    <vt:lpwstr>ES_INTERNAL</vt:lpwstr>
  </property>
  <property fmtid="{D5CDD505-2E9C-101B-9397-08002B2CF9AE}" pid="8" name="MSIP_Label_432d5f8a-12aa-48f4-ac09-593b02e41a00_SiteId">
    <vt:lpwstr>396b38cc-aa65-492b-bb0e-3d94ed25a97b</vt:lpwstr>
  </property>
  <property fmtid="{D5CDD505-2E9C-101B-9397-08002B2CF9AE}" pid="9" name="MSIP_Label_432d5f8a-12aa-48f4-ac09-593b02e41a00_ActionId">
    <vt:lpwstr>3c913227-153f-461e-8db5-84eea60f6b0a</vt:lpwstr>
  </property>
  <property fmtid="{D5CDD505-2E9C-101B-9397-08002B2CF9AE}" pid="10" name="MSIP_Label_432d5f8a-12aa-48f4-ac09-593b02e41a00_ContentBits">
    <vt:lpwstr>2</vt:lpwstr>
  </property>
</Properties>
</file>