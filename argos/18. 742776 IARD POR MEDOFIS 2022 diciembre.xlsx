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3msegurosaxa-my.sharepoint.com/personal/miguel_garcia_v3msegurosaxa_onmicrosoft_com/Documents/01. V3M/02. ADMINISTRACION AXA/02. ANALISIS MPA Y ARGOS/2022/01. ARGOS/"/>
    </mc:Choice>
  </mc:AlternateContent>
  <xr:revisionPtr revIDLastSave="0" documentId="8_{99A077D6-9054-4045-A4ED-618D6541D6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&amp;C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" i="8" l="1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7" i="8"/>
</calcChain>
</file>

<file path=xl/sharedStrings.xml><?xml version="1.0" encoding="utf-8"?>
<sst xmlns="http://schemas.openxmlformats.org/spreadsheetml/2006/main" count="400" uniqueCount="65">
  <si>
    <t xml:space="preserve"> </t>
  </si>
  <si>
    <t>2023-01-18</t>
  </si>
  <si>
    <t>17:31:15</t>
  </si>
  <si>
    <t>Detalle Piramide a 202212</t>
  </si>
  <si>
    <t/>
  </si>
  <si>
    <t>Medofi</t>
  </si>
  <si>
    <t>Nombre Medofi</t>
  </si>
  <si>
    <t>Negocio</t>
  </si>
  <si>
    <t>Ramo</t>
  </si>
  <si>
    <t>% Renov. PRIMAS</t>
  </si>
  <si>
    <t>% Caída Polizas</t>
  </si>
  <si>
    <t>% Tasa NP</t>
  </si>
  <si>
    <t>% Tasa NP M.Equip.</t>
  </si>
  <si>
    <t>% Tasa NP M.Equip./NP</t>
  </si>
  <si>
    <t>NP</t>
  </si>
  <si>
    <t>% VAR NP</t>
  </si>
  <si>
    <t>POL</t>
  </si>
  <si>
    <t>Net Inflow</t>
  </si>
  <si>
    <t>GWP</t>
  </si>
  <si>
    <t>GWPA</t>
  </si>
  <si>
    <t>% GWP</t>
  </si>
  <si>
    <t>GWPNP</t>
  </si>
  <si>
    <t>GWPNPA</t>
  </si>
  <si>
    <t>%Var. GWPNP</t>
  </si>
  <si>
    <t>GWPNP Media</t>
  </si>
  <si>
    <t>%Var GWPNP Media</t>
  </si>
  <si>
    <t>Primas Adq.</t>
  </si>
  <si>
    <t>%Var P.Adq</t>
  </si>
  <si>
    <t>%PTE</t>
  </si>
  <si>
    <t>Siniestralidad sin_IBNR</t>
  </si>
  <si>
    <t>SCCY</t>
  </si>
  <si>
    <t>SCCY Ant</t>
  </si>
  <si>
    <t>Dif.</t>
  </si>
  <si>
    <t>SCCY Leves</t>
  </si>
  <si>
    <t>SCCY Leves Ant</t>
  </si>
  <si>
    <t>SP NP</t>
  </si>
  <si>
    <t>SP Ant</t>
  </si>
  <si>
    <t>SCCY + C.Adq</t>
  </si>
  <si>
    <t>SCCY + C.Adq Ant.</t>
  </si>
  <si>
    <t>Dif</t>
  </si>
  <si>
    <t>COR</t>
  </si>
  <si>
    <t>Margen YTD</t>
  </si>
  <si>
    <t>V3M PROYECTO ASEGURADOR SL</t>
  </si>
  <si>
    <t>PARTICULARES</t>
  </si>
  <si>
    <t>ACCIDENTES</t>
  </si>
  <si>
    <t>ASIS</t>
  </si>
  <si>
    <t>AUTO</t>
  </si>
  <si>
    <t>COMUNIDADES</t>
  </si>
  <si>
    <t>DECESOS</t>
  </si>
  <si>
    <t>EMB. RECREO</t>
  </si>
  <si>
    <t>HOGAR</t>
  </si>
  <si>
    <t>INCENDIO</t>
  </si>
  <si>
    <t>RCIVIL</t>
  </si>
  <si>
    <t>SALUD</t>
  </si>
  <si>
    <t>VARIOS</t>
  </si>
  <si>
    <t>EMPRESAS</t>
  </si>
  <si>
    <t>COMERCIO</t>
  </si>
  <si>
    <t>INDUSTRIA</t>
  </si>
  <si>
    <t>INGENIERIA</t>
  </si>
  <si>
    <t>OFICINAS</t>
  </si>
  <si>
    <t>TRANSPORTES</t>
  </si>
  <si>
    <t>POOLS</t>
  </si>
  <si>
    <t>(Vacío)</t>
  </si>
  <si>
    <t>Subtotal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</si>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</sst>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7"/>
      <color indexed="18"/>
      <name val="Arial"/>
      <family val="2"/>
    </font>
    <font>
      <sz val="8"/>
      <color indexed="56"/>
      <name val="Arial"/>
      <family val="2"/>
    </font>
    <font>
      <b/>
      <sz val="8"/>
      <color indexed="18"/>
      <name val="Arial"/>
      <family val="2"/>
    </font>
    <font>
      <b/>
      <sz val="16"/>
      <color indexed="56"/>
      <name val="Arial"/>
      <family val="2"/>
    </font>
    <font>
      <i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7"/>
        <bgColor indexed="9"/>
      </patternFill>
    </fill>
    <fill>
      <patternFill patternType="solid">
        <fgColor indexed="27"/>
        <bgColor indexed="9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right" vertical="center" wrapText="1"/>
    </xf>
    <xf numFmtId="0" fontId="4" fillId="5" borderId="2" xfId="0" applyFont="1" applyFill="1" applyBorder="1" applyAlignment="1">
      <alignment horizontal="right" vertical="center" wrapText="1"/>
    </xf>
    <xf numFmtId="0" fontId="6" fillId="2" borderId="0" xfId="0" applyFont="1" applyFill="1"/>
    <xf numFmtId="10" fontId="3" fillId="0" borderId="2" xfId="0" applyNumberFormat="1" applyFont="1" applyBorder="1"/>
    <xf numFmtId="4" fontId="3" fillId="0" borderId="2" xfId="0" applyNumberFormat="1" applyFont="1" applyBorder="1"/>
    <xf numFmtId="10" fontId="4" fillId="5" borderId="2" xfId="0" applyNumberFormat="1" applyFont="1" applyFill="1" applyBorder="1"/>
    <xf numFmtId="4" fontId="4" fillId="5" borderId="2" xfId="0" applyNumberFormat="1" applyFont="1" applyFill="1" applyBorder="1"/>
    <xf numFmtId="0" fontId="3" fillId="0" borderId="2" xfId="0" applyFont="1" applyBorder="1" applyAlignment="1">
      <alignment horizontal="left" vertical="center" wrapText="1"/>
    </xf>
    <xf numFmtId="4" fontId="3" fillId="0" borderId="2" xfId="0" applyNumberFormat="1" applyFont="1" applyBorder="1"/>
    <xf numFmtId="0" fontId="5" fillId="3" borderId="1" xfId="0" applyFont="1" applyFill="1" applyBorder="1" applyAlignment="1">
      <alignment vertical="center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0</xdr:col>
      <xdr:colOff>471962</xdr:colOff>
      <xdr:row>2</xdr:row>
      <xdr:rowOff>85725</xdr:rowOff>
    </xdr:to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E2EF6602-07DE-4502-B98F-A8A5794CD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AN106"/>
  <sheetViews>
    <sheetView tabSelected="1" topLeftCell="D1" workbookViewId="0">
      <selection activeCell="O104" sqref="O104"/>
    </sheetView>
  </sheetViews>
  <sheetFormatPr baseColWidth="10" defaultRowHeight="15" x14ac:dyDescent="0.25"/>
  <sheetData>
    <row r="4" spans="1:40" ht="20.25" x14ac:dyDescent="0.25">
      <c r="A4" s="12" t="s">
        <v>3</v>
      </c>
      <c r="B4" s="12" t="s">
        <v>3</v>
      </c>
      <c r="C4" s="12" t="s">
        <v>3</v>
      </c>
      <c r="D4" s="12" t="s">
        <v>3</v>
      </c>
      <c r="E4" s="12" t="s">
        <v>3</v>
      </c>
      <c r="F4" s="12" t="s">
        <v>3</v>
      </c>
      <c r="G4" s="12" t="s">
        <v>3</v>
      </c>
      <c r="H4" s="12" t="s">
        <v>3</v>
      </c>
      <c r="I4" s="12" t="s">
        <v>3</v>
      </c>
      <c r="J4" s="12" t="s">
        <v>3</v>
      </c>
      <c r="K4" s="12" t="s">
        <v>3</v>
      </c>
      <c r="L4" s="12" t="s">
        <v>3</v>
      </c>
      <c r="M4" s="12" t="s">
        <v>3</v>
      </c>
      <c r="N4" s="12" t="s">
        <v>3</v>
      </c>
      <c r="O4" s="12" t="s">
        <v>3</v>
      </c>
      <c r="P4" s="12"/>
      <c r="Q4" s="12" t="s">
        <v>3</v>
      </c>
      <c r="R4" s="12" t="s">
        <v>3</v>
      </c>
      <c r="S4" s="12" t="s">
        <v>3</v>
      </c>
      <c r="T4" s="12" t="s">
        <v>3</v>
      </c>
      <c r="U4" s="12" t="s">
        <v>3</v>
      </c>
      <c r="V4" s="12" t="s">
        <v>3</v>
      </c>
      <c r="W4" s="12" t="s">
        <v>3</v>
      </c>
      <c r="X4" s="12" t="s">
        <v>3</v>
      </c>
      <c r="Y4" s="12" t="s">
        <v>3</v>
      </c>
      <c r="Z4" s="12" t="s">
        <v>3</v>
      </c>
      <c r="AA4" s="12" t="s">
        <v>3</v>
      </c>
      <c r="AB4" s="12" t="s">
        <v>3</v>
      </c>
      <c r="AC4" s="12" t="s">
        <v>3</v>
      </c>
      <c r="AD4" s="12" t="s">
        <v>3</v>
      </c>
      <c r="AE4" s="12" t="s">
        <v>3</v>
      </c>
      <c r="AF4" s="12" t="s">
        <v>3</v>
      </c>
      <c r="AG4" s="12" t="s">
        <v>3</v>
      </c>
      <c r="AH4" s="12" t="s">
        <v>3</v>
      </c>
      <c r="AI4" s="12" t="s">
        <v>3</v>
      </c>
      <c r="AJ4" s="12" t="s">
        <v>3</v>
      </c>
      <c r="AK4" s="12" t="s">
        <v>3</v>
      </c>
      <c r="AL4" s="12" t="s">
        <v>3</v>
      </c>
      <c r="AM4" s="12" t="s">
        <v>3</v>
      </c>
      <c r="AN4" s="12" t="s">
        <v>3</v>
      </c>
    </row>
    <row r="5" spans="1:40" x14ac:dyDescent="0.25">
      <c r="A5" s="13" t="s">
        <v>4</v>
      </c>
      <c r="B5" s="13" t="s">
        <v>4</v>
      </c>
      <c r="C5" s="13" t="s">
        <v>4</v>
      </c>
      <c r="D5" s="13" t="s">
        <v>4</v>
      </c>
      <c r="E5" s="13" t="s">
        <v>4</v>
      </c>
      <c r="F5" s="13" t="s">
        <v>4</v>
      </c>
      <c r="G5" s="13" t="s">
        <v>4</v>
      </c>
      <c r="H5" s="13" t="s">
        <v>4</v>
      </c>
      <c r="I5" s="13" t="s">
        <v>4</v>
      </c>
      <c r="J5" s="13" t="s">
        <v>4</v>
      </c>
      <c r="K5" s="13" t="s">
        <v>4</v>
      </c>
      <c r="L5" s="13" t="s">
        <v>4</v>
      </c>
      <c r="M5" s="13" t="s">
        <v>4</v>
      </c>
      <c r="N5" s="13" t="s">
        <v>4</v>
      </c>
      <c r="O5" s="13" t="s">
        <v>4</v>
      </c>
      <c r="P5" s="13"/>
      <c r="Q5" s="13" t="s">
        <v>4</v>
      </c>
      <c r="R5" s="13" t="s">
        <v>4</v>
      </c>
      <c r="S5" s="13" t="s">
        <v>4</v>
      </c>
      <c r="T5" s="13" t="s">
        <v>4</v>
      </c>
      <c r="U5" s="13" t="s">
        <v>4</v>
      </c>
      <c r="V5" s="13" t="s">
        <v>4</v>
      </c>
      <c r="W5" s="13" t="s">
        <v>4</v>
      </c>
      <c r="X5" s="13" t="s">
        <v>4</v>
      </c>
      <c r="Y5" s="13" t="s">
        <v>4</v>
      </c>
      <c r="Z5" s="13" t="s">
        <v>4</v>
      </c>
      <c r="AA5" s="13" t="s">
        <v>4</v>
      </c>
      <c r="AB5" s="13" t="s">
        <v>4</v>
      </c>
      <c r="AC5" s="13" t="s">
        <v>4</v>
      </c>
      <c r="AD5" s="13" t="s">
        <v>4</v>
      </c>
      <c r="AE5" s="13" t="s">
        <v>4</v>
      </c>
      <c r="AF5" s="13" t="s">
        <v>4</v>
      </c>
      <c r="AG5" s="13" t="s">
        <v>4</v>
      </c>
      <c r="AH5" s="13" t="s">
        <v>4</v>
      </c>
      <c r="AI5" s="13" t="s">
        <v>4</v>
      </c>
      <c r="AJ5" s="13" t="s">
        <v>4</v>
      </c>
      <c r="AK5" s="13" t="s">
        <v>4</v>
      </c>
      <c r="AL5" s="13" t="s">
        <v>4</v>
      </c>
      <c r="AM5" s="13" t="s">
        <v>4</v>
      </c>
      <c r="AN5" s="13" t="s">
        <v>4</v>
      </c>
    </row>
    <row r="6" spans="1:40" ht="18" x14ac:dyDescent="0.2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/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32</v>
      </c>
      <c r="AG6" s="1" t="s">
        <v>35</v>
      </c>
      <c r="AH6" s="1" t="s">
        <v>36</v>
      </c>
      <c r="AI6" s="1" t="s">
        <v>32</v>
      </c>
      <c r="AJ6" s="1" t="s">
        <v>37</v>
      </c>
      <c r="AK6" s="1" t="s">
        <v>38</v>
      </c>
      <c r="AL6" s="1" t="s">
        <v>39</v>
      </c>
      <c r="AM6" s="1" t="s">
        <v>40</v>
      </c>
      <c r="AN6" s="1" t="s">
        <v>41</v>
      </c>
    </row>
    <row r="7" spans="1:40" x14ac:dyDescent="0.25">
      <c r="A7" s="11">
        <v>742776</v>
      </c>
      <c r="B7" s="10" t="s">
        <v>42</v>
      </c>
      <c r="C7" s="10" t="s">
        <v>43</v>
      </c>
      <c r="D7" s="2" t="s">
        <v>44</v>
      </c>
      <c r="E7" s="6">
        <v>0.94199999999999995</v>
      </c>
      <c r="F7" s="6">
        <v>0.14299999999999999</v>
      </c>
      <c r="G7" s="6">
        <v>0.371</v>
      </c>
      <c r="H7" s="6">
        <v>0</v>
      </c>
      <c r="I7" s="6">
        <v>0</v>
      </c>
      <c r="J7" s="7">
        <v>7</v>
      </c>
      <c r="K7" s="6">
        <v>6</v>
      </c>
      <c r="L7" s="7">
        <v>19</v>
      </c>
      <c r="M7" s="7">
        <v>5</v>
      </c>
      <c r="N7" s="7">
        <v>2925</v>
      </c>
      <c r="O7" s="7">
        <v>2227</v>
      </c>
      <c r="P7" s="7">
        <f>N7-O7</f>
        <v>698</v>
      </c>
      <c r="Q7" s="6">
        <v>0.313</v>
      </c>
      <c r="R7" s="7">
        <v>827</v>
      </c>
      <c r="S7" s="7">
        <v>149</v>
      </c>
      <c r="T7" s="6">
        <v>4.5439999999999996</v>
      </c>
      <c r="U7" s="7">
        <v>118</v>
      </c>
      <c r="V7" s="6">
        <v>-0.20799999999999999</v>
      </c>
      <c r="W7" s="7">
        <v>2547</v>
      </c>
      <c r="X7" s="6">
        <v>0.122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7">
        <v>0</v>
      </c>
    </row>
    <row r="8" spans="1:40" x14ac:dyDescent="0.25">
      <c r="A8" s="11">
        <v>742776</v>
      </c>
      <c r="B8" s="10" t="s">
        <v>42</v>
      </c>
      <c r="C8" s="10" t="s">
        <v>43</v>
      </c>
      <c r="D8" s="2" t="s">
        <v>45</v>
      </c>
      <c r="E8" s="6">
        <v>0</v>
      </c>
      <c r="F8" s="3"/>
      <c r="G8" s="6">
        <v>1.296</v>
      </c>
      <c r="H8" s="6">
        <v>0</v>
      </c>
      <c r="I8" s="6">
        <v>0</v>
      </c>
      <c r="J8" s="7">
        <v>13</v>
      </c>
      <c r="K8" s="6">
        <v>0.625</v>
      </c>
      <c r="L8" s="7">
        <v>3</v>
      </c>
      <c r="M8" s="7">
        <v>3</v>
      </c>
      <c r="N8" s="7">
        <v>1768</v>
      </c>
      <c r="O8" s="7">
        <v>1364</v>
      </c>
      <c r="P8" s="7">
        <f t="shared" ref="P8:P71" si="0">N8-O8</f>
        <v>404</v>
      </c>
      <c r="Q8" s="6">
        <v>0.29599999999999999</v>
      </c>
      <c r="R8" s="7">
        <v>1768</v>
      </c>
      <c r="S8" s="7">
        <v>1364</v>
      </c>
      <c r="T8" s="6">
        <v>0.29599999999999999</v>
      </c>
      <c r="U8" s="7">
        <v>1409</v>
      </c>
      <c r="V8" s="6">
        <v>-6.9000000000000006E-2</v>
      </c>
      <c r="W8" s="7">
        <v>1132</v>
      </c>
      <c r="X8" s="6">
        <v>-0.19</v>
      </c>
      <c r="Y8" s="6">
        <v>0</v>
      </c>
      <c r="Z8" s="6">
        <v>0.41499999999999998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7">
        <v>0</v>
      </c>
    </row>
    <row r="9" spans="1:40" x14ac:dyDescent="0.25">
      <c r="A9" s="11">
        <v>742776</v>
      </c>
      <c r="B9" s="10" t="s">
        <v>42</v>
      </c>
      <c r="C9" s="10" t="s">
        <v>43</v>
      </c>
      <c r="D9" s="2" t="s">
        <v>46</v>
      </c>
      <c r="E9" s="6">
        <v>0.85599999999999998</v>
      </c>
      <c r="F9" s="6">
        <v>0.14000000000000001</v>
      </c>
      <c r="G9" s="6">
        <v>0.16700000000000001</v>
      </c>
      <c r="H9" s="6">
        <v>0</v>
      </c>
      <c r="I9" s="6">
        <v>0</v>
      </c>
      <c r="J9" s="7">
        <v>301</v>
      </c>
      <c r="K9" s="6">
        <v>0.67200000000000004</v>
      </c>
      <c r="L9" s="7">
        <v>1478</v>
      </c>
      <c r="M9" s="7">
        <v>110</v>
      </c>
      <c r="N9" s="7">
        <v>470139</v>
      </c>
      <c r="O9" s="7">
        <v>459535</v>
      </c>
      <c r="P9" s="7">
        <f t="shared" si="0"/>
        <v>10604</v>
      </c>
      <c r="Q9" s="6">
        <v>2.3E-2</v>
      </c>
      <c r="R9" s="7">
        <v>76701</v>
      </c>
      <c r="S9" s="7">
        <v>56525</v>
      </c>
      <c r="T9" s="6">
        <v>0.35699999999999998</v>
      </c>
      <c r="U9" s="7">
        <v>252</v>
      </c>
      <c r="V9" s="6">
        <v>-0.22900000000000001</v>
      </c>
      <c r="W9" s="7">
        <v>468704</v>
      </c>
      <c r="X9" s="6">
        <v>1.6E-2</v>
      </c>
      <c r="Y9" s="6">
        <v>0.01</v>
      </c>
      <c r="Z9" s="6">
        <v>0.73099999999999998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7">
        <v>0</v>
      </c>
    </row>
    <row r="10" spans="1:40" ht="22.5" x14ac:dyDescent="0.25">
      <c r="A10" s="11">
        <v>742776</v>
      </c>
      <c r="B10" s="10" t="s">
        <v>42</v>
      </c>
      <c r="C10" s="10" t="s">
        <v>43</v>
      </c>
      <c r="D10" s="2" t="s">
        <v>47</v>
      </c>
      <c r="E10" s="6">
        <v>1.0429999999999999</v>
      </c>
      <c r="F10" s="6">
        <v>0</v>
      </c>
      <c r="G10" s="6">
        <v>7.6999999999999999E-2</v>
      </c>
      <c r="H10" s="6">
        <v>0</v>
      </c>
      <c r="I10" s="6">
        <v>0</v>
      </c>
      <c r="J10" s="7">
        <v>3</v>
      </c>
      <c r="K10" s="6">
        <v>2</v>
      </c>
      <c r="L10" s="7">
        <v>24</v>
      </c>
      <c r="M10" s="7">
        <v>3</v>
      </c>
      <c r="N10" s="7">
        <v>17694</v>
      </c>
      <c r="O10" s="7">
        <v>15801</v>
      </c>
      <c r="P10" s="7">
        <f t="shared" si="0"/>
        <v>1893</v>
      </c>
      <c r="Q10" s="6">
        <v>0.12</v>
      </c>
      <c r="R10" s="7">
        <v>1212</v>
      </c>
      <c r="S10" s="7">
        <v>749</v>
      </c>
      <c r="T10" s="6">
        <v>0.61799999999999999</v>
      </c>
      <c r="U10" s="7">
        <v>404</v>
      </c>
      <c r="V10" s="6">
        <v>-0.46100000000000002</v>
      </c>
      <c r="W10" s="7">
        <v>16425</v>
      </c>
      <c r="X10" s="6">
        <v>6.6000000000000003E-2</v>
      </c>
      <c r="Y10" s="6">
        <v>0</v>
      </c>
      <c r="Z10" s="6">
        <v>1.0669999999999999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7">
        <v>0</v>
      </c>
    </row>
    <row r="11" spans="1:40" x14ac:dyDescent="0.25">
      <c r="A11" s="11">
        <v>742776</v>
      </c>
      <c r="B11" s="10" t="s">
        <v>42</v>
      </c>
      <c r="C11" s="10" t="s">
        <v>43</v>
      </c>
      <c r="D11" s="2" t="s">
        <v>48</v>
      </c>
      <c r="E11" s="6">
        <v>0.98499999999999999</v>
      </c>
      <c r="F11" s="6">
        <v>4.2999999999999997E-2</v>
      </c>
      <c r="G11" s="6">
        <v>3.2000000000000001E-2</v>
      </c>
      <c r="H11" s="6">
        <v>0</v>
      </c>
      <c r="I11" s="6">
        <v>0</v>
      </c>
      <c r="J11" s="7">
        <v>1</v>
      </c>
      <c r="K11" s="6">
        <v>-0.66700000000000004</v>
      </c>
      <c r="L11" s="7">
        <v>45</v>
      </c>
      <c r="M11" s="7">
        <v>-1</v>
      </c>
      <c r="N11" s="7">
        <v>8341</v>
      </c>
      <c r="O11" s="7">
        <v>8202</v>
      </c>
      <c r="P11" s="7">
        <f t="shared" si="0"/>
        <v>139</v>
      </c>
      <c r="Q11" s="6">
        <v>1.7000000000000001E-2</v>
      </c>
      <c r="R11" s="7">
        <v>264</v>
      </c>
      <c r="S11" s="7">
        <v>393</v>
      </c>
      <c r="T11" s="6">
        <v>-0.32800000000000001</v>
      </c>
      <c r="U11" s="7">
        <v>264</v>
      </c>
      <c r="V11" s="6">
        <v>1.0149999999999999</v>
      </c>
      <c r="W11" s="7">
        <v>8185</v>
      </c>
      <c r="X11" s="6">
        <v>0.04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7">
        <v>0</v>
      </c>
    </row>
    <row r="12" spans="1:40" x14ac:dyDescent="0.25">
      <c r="A12" s="11">
        <v>742776</v>
      </c>
      <c r="B12" s="10" t="s">
        <v>42</v>
      </c>
      <c r="C12" s="10" t="s">
        <v>43</v>
      </c>
      <c r="D12" s="2" t="s">
        <v>49</v>
      </c>
      <c r="E12" s="6">
        <v>0.66900000000000004</v>
      </c>
      <c r="F12" s="6">
        <v>0.5</v>
      </c>
      <c r="G12" s="6">
        <v>1.425</v>
      </c>
      <c r="H12" s="6">
        <v>0</v>
      </c>
      <c r="I12" s="6">
        <v>0</v>
      </c>
      <c r="J12" s="7">
        <v>3</v>
      </c>
      <c r="K12" s="6">
        <v>2</v>
      </c>
      <c r="L12" s="7">
        <v>6</v>
      </c>
      <c r="M12" s="7">
        <v>0</v>
      </c>
      <c r="N12" s="7">
        <v>1931</v>
      </c>
      <c r="O12" s="7">
        <v>922</v>
      </c>
      <c r="P12" s="7">
        <f t="shared" si="0"/>
        <v>1009</v>
      </c>
      <c r="Q12" s="6">
        <v>1.095</v>
      </c>
      <c r="R12" s="7">
        <v>1314</v>
      </c>
      <c r="S12" s="7">
        <v>98</v>
      </c>
      <c r="T12" s="6">
        <v>12.375999999999999</v>
      </c>
      <c r="U12" s="7">
        <v>438</v>
      </c>
      <c r="V12" s="6">
        <v>3.4590000000000001</v>
      </c>
      <c r="W12" s="7">
        <v>1227</v>
      </c>
      <c r="X12" s="6">
        <v>0.39100000000000001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7">
        <v>0</v>
      </c>
    </row>
    <row r="13" spans="1:40" x14ac:dyDescent="0.25">
      <c r="A13" s="11">
        <v>742776</v>
      </c>
      <c r="B13" s="10" t="s">
        <v>42</v>
      </c>
      <c r="C13" s="10" t="s">
        <v>43</v>
      </c>
      <c r="D13" s="2" t="s">
        <v>50</v>
      </c>
      <c r="E13" s="6">
        <v>0.96099999999999997</v>
      </c>
      <c r="F13" s="6">
        <v>0.08</v>
      </c>
      <c r="G13" s="6">
        <v>8.4000000000000005E-2</v>
      </c>
      <c r="H13" s="6">
        <v>0</v>
      </c>
      <c r="I13" s="6">
        <v>0</v>
      </c>
      <c r="J13" s="7">
        <v>67</v>
      </c>
      <c r="K13" s="6">
        <v>0.42599999999999999</v>
      </c>
      <c r="L13" s="7">
        <v>656</v>
      </c>
      <c r="M13" s="7">
        <v>16</v>
      </c>
      <c r="N13" s="7">
        <v>139786</v>
      </c>
      <c r="O13" s="7">
        <v>133799</v>
      </c>
      <c r="P13" s="7">
        <f t="shared" si="0"/>
        <v>5987</v>
      </c>
      <c r="Q13" s="6">
        <v>4.4999999999999998E-2</v>
      </c>
      <c r="R13" s="7">
        <v>11271</v>
      </c>
      <c r="S13" s="7">
        <v>7489</v>
      </c>
      <c r="T13" s="6">
        <v>0.505</v>
      </c>
      <c r="U13" s="7">
        <v>168</v>
      </c>
      <c r="V13" s="6">
        <v>5.6000000000000001E-2</v>
      </c>
      <c r="W13" s="7">
        <v>136075</v>
      </c>
      <c r="X13" s="6">
        <v>0.02</v>
      </c>
      <c r="Y13" s="6">
        <v>4.0000000000000001E-3</v>
      </c>
      <c r="Z13" s="6">
        <v>0.505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7">
        <v>0</v>
      </c>
    </row>
    <row r="14" spans="1:40" x14ac:dyDescent="0.25">
      <c r="A14" s="11">
        <v>742776</v>
      </c>
      <c r="B14" s="10" t="s">
        <v>42</v>
      </c>
      <c r="C14" s="10" t="s">
        <v>43</v>
      </c>
      <c r="D14" s="2" t="s">
        <v>51</v>
      </c>
      <c r="E14" s="6">
        <v>1.05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3"/>
      <c r="L14" s="7">
        <v>5</v>
      </c>
      <c r="M14" s="7">
        <v>0</v>
      </c>
      <c r="N14" s="7">
        <v>385</v>
      </c>
      <c r="O14" s="7">
        <v>367</v>
      </c>
      <c r="P14" s="7">
        <f t="shared" si="0"/>
        <v>18</v>
      </c>
      <c r="Q14" s="6">
        <v>0.05</v>
      </c>
      <c r="R14" s="7">
        <v>0</v>
      </c>
      <c r="S14" s="7">
        <v>0</v>
      </c>
      <c r="T14" s="3"/>
      <c r="U14" s="3"/>
      <c r="V14" s="3"/>
      <c r="W14" s="7">
        <v>376</v>
      </c>
      <c r="X14" s="6">
        <v>-6.0000000000000001E-3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7">
        <v>0</v>
      </c>
    </row>
    <row r="15" spans="1:40" x14ac:dyDescent="0.25">
      <c r="A15" s="11">
        <v>742776</v>
      </c>
      <c r="B15" s="10" t="s">
        <v>42</v>
      </c>
      <c r="C15" s="10" t="s">
        <v>43</v>
      </c>
      <c r="D15" s="2" t="s">
        <v>52</v>
      </c>
      <c r="E15" s="6">
        <v>0.65200000000000002</v>
      </c>
      <c r="F15" s="6">
        <v>0.13300000000000001</v>
      </c>
      <c r="G15" s="6">
        <v>0.253</v>
      </c>
      <c r="H15" s="6">
        <v>0</v>
      </c>
      <c r="I15" s="6">
        <v>0</v>
      </c>
      <c r="J15" s="7">
        <v>14</v>
      </c>
      <c r="K15" s="6">
        <v>1.8</v>
      </c>
      <c r="L15" s="7">
        <v>86</v>
      </c>
      <c r="M15" s="7">
        <v>3</v>
      </c>
      <c r="N15" s="7">
        <v>2811</v>
      </c>
      <c r="O15" s="7">
        <v>3108</v>
      </c>
      <c r="P15" s="7">
        <f t="shared" si="0"/>
        <v>-297</v>
      </c>
      <c r="Q15" s="6">
        <v>-9.6000000000000002E-2</v>
      </c>
      <c r="R15" s="7">
        <v>785</v>
      </c>
      <c r="S15" s="7">
        <v>351</v>
      </c>
      <c r="T15" s="6">
        <v>1.236</v>
      </c>
      <c r="U15" s="7">
        <v>56</v>
      </c>
      <c r="V15" s="6">
        <v>-0.48499999999999999</v>
      </c>
      <c r="W15" s="7">
        <v>3386</v>
      </c>
      <c r="X15" s="6">
        <v>7.3999999999999996E-2</v>
      </c>
      <c r="Y15" s="6">
        <v>5.0000000000000001E-3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7">
        <v>0</v>
      </c>
    </row>
    <row r="16" spans="1:40" x14ac:dyDescent="0.25">
      <c r="A16" s="11">
        <v>742776</v>
      </c>
      <c r="B16" s="10" t="s">
        <v>42</v>
      </c>
      <c r="C16" s="10" t="s">
        <v>43</v>
      </c>
      <c r="D16" s="2" t="s">
        <v>53</v>
      </c>
      <c r="E16" s="6">
        <v>0.97099999999999997</v>
      </c>
      <c r="F16" s="6">
        <v>0.16</v>
      </c>
      <c r="G16" s="6">
        <v>0.19</v>
      </c>
      <c r="H16" s="6">
        <v>0</v>
      </c>
      <c r="I16" s="6">
        <v>0</v>
      </c>
      <c r="J16" s="7">
        <v>6</v>
      </c>
      <c r="K16" s="6">
        <v>1</v>
      </c>
      <c r="L16" s="7">
        <v>27</v>
      </c>
      <c r="M16" s="7">
        <v>2</v>
      </c>
      <c r="N16" s="7">
        <v>9170</v>
      </c>
      <c r="O16" s="7">
        <v>7902</v>
      </c>
      <c r="P16" s="7">
        <f t="shared" si="0"/>
        <v>1268</v>
      </c>
      <c r="Q16" s="6">
        <v>0.161</v>
      </c>
      <c r="R16" s="7">
        <v>1500</v>
      </c>
      <c r="S16" s="7">
        <v>525</v>
      </c>
      <c r="T16" s="6">
        <v>1.859</v>
      </c>
      <c r="U16" s="7">
        <v>250</v>
      </c>
      <c r="V16" s="6">
        <v>0.42899999999999999</v>
      </c>
      <c r="W16" s="7">
        <v>8570</v>
      </c>
      <c r="X16" s="6">
        <v>-3.7999999999999999E-2</v>
      </c>
      <c r="Y16" s="6">
        <v>0</v>
      </c>
      <c r="Z16" s="6">
        <v>0.17799999999999999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7">
        <v>0</v>
      </c>
    </row>
    <row r="17" spans="1:40" x14ac:dyDescent="0.25">
      <c r="A17" s="11">
        <v>742776</v>
      </c>
      <c r="B17" s="10" t="s">
        <v>42</v>
      </c>
      <c r="C17" s="10" t="s">
        <v>43</v>
      </c>
      <c r="D17" s="2" t="s">
        <v>54</v>
      </c>
      <c r="E17" s="6">
        <v>0.63</v>
      </c>
      <c r="F17" s="6">
        <v>0.33300000000000002</v>
      </c>
      <c r="G17" s="6">
        <v>0</v>
      </c>
      <c r="H17" s="6">
        <v>0</v>
      </c>
      <c r="I17" s="6">
        <v>0</v>
      </c>
      <c r="J17" s="7">
        <v>0</v>
      </c>
      <c r="K17" s="3"/>
      <c r="L17" s="7">
        <v>12</v>
      </c>
      <c r="M17" s="7">
        <v>-6</v>
      </c>
      <c r="N17" s="7">
        <v>1496</v>
      </c>
      <c r="O17" s="7">
        <v>2374</v>
      </c>
      <c r="P17" s="7">
        <f t="shared" si="0"/>
        <v>-878</v>
      </c>
      <c r="Q17" s="6">
        <v>-0.37</v>
      </c>
      <c r="R17" s="7">
        <v>0</v>
      </c>
      <c r="S17" s="7">
        <v>0</v>
      </c>
      <c r="T17" s="3"/>
      <c r="U17" s="3"/>
      <c r="V17" s="3"/>
      <c r="W17" s="7">
        <v>1981</v>
      </c>
      <c r="X17" s="6">
        <v>-0.16800000000000001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7">
        <v>0</v>
      </c>
    </row>
    <row r="18" spans="1:40" x14ac:dyDescent="0.25">
      <c r="A18" s="11">
        <v>742776</v>
      </c>
      <c r="B18" s="10" t="s">
        <v>42</v>
      </c>
      <c r="C18" s="10" t="s">
        <v>55</v>
      </c>
      <c r="D18" s="2" t="s">
        <v>44</v>
      </c>
      <c r="E18" s="6">
        <v>1.349</v>
      </c>
      <c r="F18" s="6">
        <v>0.19</v>
      </c>
      <c r="G18" s="6">
        <v>0.20899999999999999</v>
      </c>
      <c r="H18" s="6">
        <v>0</v>
      </c>
      <c r="I18" s="6">
        <v>0</v>
      </c>
      <c r="J18" s="7">
        <v>5</v>
      </c>
      <c r="K18" s="6">
        <v>-0.375</v>
      </c>
      <c r="L18" s="7">
        <v>56</v>
      </c>
      <c r="M18" s="7">
        <v>-7</v>
      </c>
      <c r="N18" s="7">
        <v>9096</v>
      </c>
      <c r="O18" s="7">
        <v>5838</v>
      </c>
      <c r="P18" s="7">
        <f t="shared" si="0"/>
        <v>3258</v>
      </c>
      <c r="Q18" s="6">
        <v>0.55800000000000005</v>
      </c>
      <c r="R18" s="7">
        <v>1221</v>
      </c>
      <c r="S18" s="7">
        <v>864</v>
      </c>
      <c r="T18" s="6">
        <v>0.41399999999999998</v>
      </c>
      <c r="U18" s="7">
        <v>398</v>
      </c>
      <c r="V18" s="6">
        <v>2.3090000000000002</v>
      </c>
      <c r="W18" s="7">
        <v>8933</v>
      </c>
      <c r="X18" s="6">
        <v>0.247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7">
        <v>0</v>
      </c>
    </row>
    <row r="19" spans="1:40" x14ac:dyDescent="0.25">
      <c r="A19" s="11">
        <v>742776</v>
      </c>
      <c r="B19" s="10" t="s">
        <v>42</v>
      </c>
      <c r="C19" s="10" t="s">
        <v>55</v>
      </c>
      <c r="D19" s="2" t="s">
        <v>46</v>
      </c>
      <c r="E19" s="6">
        <v>-4.8000000000000001E-2</v>
      </c>
      <c r="F19" s="6">
        <v>0.5</v>
      </c>
      <c r="G19" s="6">
        <v>0.375</v>
      </c>
      <c r="H19" s="6">
        <v>0</v>
      </c>
      <c r="I19" s="6">
        <v>0</v>
      </c>
      <c r="J19" s="7">
        <v>8</v>
      </c>
      <c r="K19" s="6">
        <v>-0.77100000000000002</v>
      </c>
      <c r="L19" s="7">
        <v>39</v>
      </c>
      <c r="M19" s="7">
        <v>-23</v>
      </c>
      <c r="N19" s="7">
        <v>12259</v>
      </c>
      <c r="O19" s="7">
        <v>37479</v>
      </c>
      <c r="P19" s="7">
        <f t="shared" si="0"/>
        <v>-25220</v>
      </c>
      <c r="Q19" s="6">
        <v>-0.67300000000000004</v>
      </c>
      <c r="R19" s="7">
        <v>14043</v>
      </c>
      <c r="S19" s="7">
        <v>20892</v>
      </c>
      <c r="T19" s="6">
        <v>-0.32800000000000001</v>
      </c>
      <c r="U19" s="7">
        <v>704</v>
      </c>
      <c r="V19" s="6">
        <v>0.27100000000000002</v>
      </c>
      <c r="W19" s="7">
        <v>34203</v>
      </c>
      <c r="X19" s="6">
        <v>-1.6E-2</v>
      </c>
      <c r="Y19" s="6">
        <v>0</v>
      </c>
      <c r="Z19" s="6">
        <v>0.53300000000000003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7">
        <v>0</v>
      </c>
    </row>
    <row r="20" spans="1:40" x14ac:dyDescent="0.25">
      <c r="A20" s="11">
        <v>742776</v>
      </c>
      <c r="B20" s="10" t="s">
        <v>42</v>
      </c>
      <c r="C20" s="10" t="s">
        <v>55</v>
      </c>
      <c r="D20" s="2" t="s">
        <v>56</v>
      </c>
      <c r="E20" s="6">
        <v>1.0389999999999999</v>
      </c>
      <c r="F20" s="6">
        <v>8.5999999999999993E-2</v>
      </c>
      <c r="G20" s="6">
        <v>7.5999999999999998E-2</v>
      </c>
      <c r="H20" s="6">
        <v>0</v>
      </c>
      <c r="I20" s="6">
        <v>0</v>
      </c>
      <c r="J20" s="7">
        <v>3</v>
      </c>
      <c r="K20" s="6">
        <v>-0.5</v>
      </c>
      <c r="L20" s="7">
        <v>56</v>
      </c>
      <c r="M20" s="7">
        <v>-2</v>
      </c>
      <c r="N20" s="7">
        <v>33014</v>
      </c>
      <c r="O20" s="7">
        <v>29619</v>
      </c>
      <c r="P20" s="7">
        <f t="shared" si="0"/>
        <v>3395</v>
      </c>
      <c r="Q20" s="6">
        <v>0.115</v>
      </c>
      <c r="R20" s="7">
        <v>2247</v>
      </c>
      <c r="S20" s="7">
        <v>3609</v>
      </c>
      <c r="T20" s="6">
        <v>-0.377</v>
      </c>
      <c r="U20" s="7">
        <v>749</v>
      </c>
      <c r="V20" s="6">
        <v>0.245</v>
      </c>
      <c r="W20" s="7">
        <v>31428</v>
      </c>
      <c r="X20" s="6">
        <v>6.0999999999999999E-2</v>
      </c>
      <c r="Y20" s="6">
        <v>0</v>
      </c>
      <c r="Z20" s="6">
        <v>1.2869999999999999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7">
        <v>0</v>
      </c>
    </row>
    <row r="21" spans="1:40" x14ac:dyDescent="0.25">
      <c r="A21" s="11">
        <v>742776</v>
      </c>
      <c r="B21" s="10" t="s">
        <v>42</v>
      </c>
      <c r="C21" s="10" t="s">
        <v>55</v>
      </c>
      <c r="D21" s="2" t="s">
        <v>51</v>
      </c>
      <c r="E21" s="3"/>
      <c r="F21" s="3"/>
      <c r="G21" s="3"/>
      <c r="H21" s="3"/>
      <c r="I21" s="6">
        <v>0</v>
      </c>
      <c r="J21" s="7">
        <v>0</v>
      </c>
      <c r="K21" s="3"/>
      <c r="L21" s="7">
        <v>0</v>
      </c>
      <c r="M21" s="7">
        <v>0</v>
      </c>
      <c r="N21" s="7">
        <v>0</v>
      </c>
      <c r="O21" s="7">
        <v>0</v>
      </c>
      <c r="P21" s="7">
        <f t="shared" si="0"/>
        <v>0</v>
      </c>
      <c r="Q21" s="3"/>
      <c r="R21" s="7">
        <v>0</v>
      </c>
      <c r="S21" s="7">
        <v>0</v>
      </c>
      <c r="T21" s="3"/>
      <c r="U21" s="3"/>
      <c r="V21" s="3"/>
      <c r="W21" s="7">
        <v>0</v>
      </c>
      <c r="X21" s="3"/>
      <c r="Y21" s="3"/>
      <c r="Z21" s="3"/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3"/>
      <c r="AN21" s="7">
        <v>0</v>
      </c>
    </row>
    <row r="22" spans="1:40" x14ac:dyDescent="0.25">
      <c r="A22" s="11">
        <v>742776</v>
      </c>
      <c r="B22" s="10" t="s">
        <v>42</v>
      </c>
      <c r="C22" s="10" t="s">
        <v>55</v>
      </c>
      <c r="D22" s="2" t="s">
        <v>57</v>
      </c>
      <c r="E22" s="6">
        <v>0.79400000000000004</v>
      </c>
      <c r="F22" s="6">
        <v>0.28199999999999997</v>
      </c>
      <c r="G22" s="6">
        <v>0.10100000000000001</v>
      </c>
      <c r="H22" s="6">
        <v>0</v>
      </c>
      <c r="I22" s="6">
        <v>0</v>
      </c>
      <c r="J22" s="7">
        <v>6</v>
      </c>
      <c r="K22" s="6">
        <v>-0.25</v>
      </c>
      <c r="L22" s="7">
        <v>34</v>
      </c>
      <c r="M22" s="7">
        <v>-5</v>
      </c>
      <c r="N22" s="7">
        <v>39264</v>
      </c>
      <c r="O22" s="7">
        <v>43862</v>
      </c>
      <c r="P22" s="7">
        <f t="shared" si="0"/>
        <v>-4598</v>
      </c>
      <c r="Q22" s="6">
        <v>-0.105</v>
      </c>
      <c r="R22" s="7">
        <v>4451</v>
      </c>
      <c r="S22" s="7">
        <v>6664</v>
      </c>
      <c r="T22" s="6">
        <v>-0.33200000000000002</v>
      </c>
      <c r="U22" s="7">
        <v>742</v>
      </c>
      <c r="V22" s="6">
        <v>-0.109</v>
      </c>
      <c r="W22" s="7">
        <v>43059</v>
      </c>
      <c r="X22" s="6">
        <v>-9.1999999999999998E-2</v>
      </c>
      <c r="Y22" s="6">
        <v>0</v>
      </c>
      <c r="Z22" s="6">
        <v>0.92700000000000005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7">
        <v>0</v>
      </c>
    </row>
    <row r="23" spans="1:40" x14ac:dyDescent="0.25">
      <c r="A23" s="11">
        <v>742776</v>
      </c>
      <c r="B23" s="10" t="s">
        <v>42</v>
      </c>
      <c r="C23" s="10" t="s">
        <v>55</v>
      </c>
      <c r="D23" s="2" t="s">
        <v>58</v>
      </c>
      <c r="E23" s="6">
        <v>0.93899999999999995</v>
      </c>
      <c r="F23" s="6">
        <v>0</v>
      </c>
      <c r="G23" s="6">
        <v>0.11600000000000001</v>
      </c>
      <c r="H23" s="6">
        <v>0</v>
      </c>
      <c r="I23" s="6">
        <v>0</v>
      </c>
      <c r="J23" s="7">
        <v>2</v>
      </c>
      <c r="K23" s="6">
        <v>0</v>
      </c>
      <c r="L23" s="7">
        <v>15</v>
      </c>
      <c r="M23" s="7">
        <v>2</v>
      </c>
      <c r="N23" s="7">
        <v>6015</v>
      </c>
      <c r="O23" s="7">
        <v>5700</v>
      </c>
      <c r="P23" s="7">
        <f t="shared" si="0"/>
        <v>315</v>
      </c>
      <c r="Q23" s="6">
        <v>5.5E-2</v>
      </c>
      <c r="R23" s="7">
        <v>660</v>
      </c>
      <c r="S23" s="7">
        <v>625</v>
      </c>
      <c r="T23" s="6">
        <v>5.7000000000000002E-2</v>
      </c>
      <c r="U23" s="7">
        <v>1488</v>
      </c>
      <c r="V23" s="6">
        <v>2.028</v>
      </c>
      <c r="W23" s="7">
        <v>5640</v>
      </c>
      <c r="X23" s="6">
        <v>1.0999999999999999E-2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7">
        <v>0</v>
      </c>
    </row>
    <row r="24" spans="1:40" x14ac:dyDescent="0.25">
      <c r="A24" s="11">
        <v>742776</v>
      </c>
      <c r="B24" s="10" t="s">
        <v>42</v>
      </c>
      <c r="C24" s="10" t="s">
        <v>55</v>
      </c>
      <c r="D24" s="2" t="s">
        <v>59</v>
      </c>
      <c r="E24" s="6">
        <v>1.0109999999999999</v>
      </c>
      <c r="F24" s="6">
        <v>7.3999999999999996E-2</v>
      </c>
      <c r="G24" s="6">
        <v>0.107</v>
      </c>
      <c r="H24" s="6">
        <v>0</v>
      </c>
      <c r="I24" s="6">
        <v>0</v>
      </c>
      <c r="J24" s="7">
        <v>3</v>
      </c>
      <c r="K24" s="6">
        <v>2</v>
      </c>
      <c r="L24" s="7">
        <v>28</v>
      </c>
      <c r="M24" s="7">
        <v>1</v>
      </c>
      <c r="N24" s="7">
        <v>7439</v>
      </c>
      <c r="O24" s="7">
        <v>6654</v>
      </c>
      <c r="P24" s="7">
        <f t="shared" si="0"/>
        <v>785</v>
      </c>
      <c r="Q24" s="6">
        <v>0.11799999999999999</v>
      </c>
      <c r="R24" s="7">
        <v>713</v>
      </c>
      <c r="S24" s="7">
        <v>188</v>
      </c>
      <c r="T24" s="6">
        <v>2.7959999999999998</v>
      </c>
      <c r="U24" s="7">
        <v>238</v>
      </c>
      <c r="V24" s="6">
        <v>0.26500000000000001</v>
      </c>
      <c r="W24" s="7">
        <v>6917</v>
      </c>
      <c r="X24" s="6">
        <v>4.2999999999999997E-2</v>
      </c>
      <c r="Y24" s="6">
        <v>0</v>
      </c>
      <c r="Z24" s="6">
        <v>0.38800000000000001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7">
        <v>0</v>
      </c>
    </row>
    <row r="25" spans="1:40" x14ac:dyDescent="0.25">
      <c r="A25" s="11">
        <v>742776</v>
      </c>
      <c r="B25" s="10" t="s">
        <v>42</v>
      </c>
      <c r="C25" s="10" t="s">
        <v>55</v>
      </c>
      <c r="D25" s="2" t="s">
        <v>52</v>
      </c>
      <c r="E25" s="6">
        <v>0.88600000000000001</v>
      </c>
      <c r="F25" s="6">
        <v>0.152</v>
      </c>
      <c r="G25" s="6">
        <v>0.19500000000000001</v>
      </c>
      <c r="H25" s="6">
        <v>0</v>
      </c>
      <c r="I25" s="6">
        <v>0</v>
      </c>
      <c r="J25" s="7">
        <v>8</v>
      </c>
      <c r="K25" s="6">
        <v>1.667</v>
      </c>
      <c r="L25" s="7">
        <v>36</v>
      </c>
      <c r="M25" s="7">
        <v>3</v>
      </c>
      <c r="N25" s="7">
        <v>44518</v>
      </c>
      <c r="O25" s="7">
        <v>41196</v>
      </c>
      <c r="P25" s="7">
        <f t="shared" si="0"/>
        <v>3322</v>
      </c>
      <c r="Q25" s="6">
        <v>8.1000000000000003E-2</v>
      </c>
      <c r="R25" s="7">
        <v>8032</v>
      </c>
      <c r="S25" s="7">
        <v>1361</v>
      </c>
      <c r="T25" s="6">
        <v>4.9009999999999998</v>
      </c>
      <c r="U25" s="7">
        <v>1147</v>
      </c>
      <c r="V25" s="6">
        <v>0.70799999999999996</v>
      </c>
      <c r="W25" s="7">
        <v>42537</v>
      </c>
      <c r="X25" s="6">
        <v>1.4E-2</v>
      </c>
      <c r="Y25" s="6">
        <v>0</v>
      </c>
      <c r="Z25" s="6">
        <v>3.5000000000000003E-2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7">
        <v>0</v>
      </c>
    </row>
    <row r="26" spans="1:40" ht="22.5" x14ac:dyDescent="0.25">
      <c r="A26" s="11">
        <v>742776</v>
      </c>
      <c r="B26" s="10" t="s">
        <v>42</v>
      </c>
      <c r="C26" s="10" t="s">
        <v>55</v>
      </c>
      <c r="D26" s="2" t="s">
        <v>60</v>
      </c>
      <c r="E26" s="6">
        <v>0.79300000000000004</v>
      </c>
      <c r="F26" s="6">
        <v>0.28599999999999998</v>
      </c>
      <c r="G26" s="6">
        <v>0.26400000000000001</v>
      </c>
      <c r="H26" s="6">
        <v>0</v>
      </c>
      <c r="I26" s="6">
        <v>0</v>
      </c>
      <c r="J26" s="7">
        <v>2</v>
      </c>
      <c r="K26" s="6">
        <v>0</v>
      </c>
      <c r="L26" s="7">
        <v>7</v>
      </c>
      <c r="M26" s="7">
        <v>0</v>
      </c>
      <c r="N26" s="7">
        <v>5558</v>
      </c>
      <c r="O26" s="7">
        <v>5258</v>
      </c>
      <c r="P26" s="7">
        <f t="shared" si="0"/>
        <v>300</v>
      </c>
      <c r="Q26" s="6">
        <v>5.7000000000000002E-2</v>
      </c>
      <c r="R26" s="7">
        <v>1390</v>
      </c>
      <c r="S26" s="7">
        <v>406</v>
      </c>
      <c r="T26" s="6">
        <v>2.423</v>
      </c>
      <c r="U26" s="7">
        <v>695</v>
      </c>
      <c r="V26" s="6">
        <v>0.80100000000000005</v>
      </c>
      <c r="W26" s="7">
        <v>4836</v>
      </c>
      <c r="X26" s="6">
        <v>-0.105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7">
        <v>0</v>
      </c>
    </row>
    <row r="27" spans="1:40" x14ac:dyDescent="0.25">
      <c r="A27" s="11">
        <v>742776</v>
      </c>
      <c r="B27" s="10" t="s">
        <v>42</v>
      </c>
      <c r="C27" s="2" t="s">
        <v>61</v>
      </c>
      <c r="D27" s="2" t="s">
        <v>61</v>
      </c>
      <c r="E27" s="3"/>
      <c r="F27" s="3"/>
      <c r="G27" s="3"/>
      <c r="H27" s="3"/>
      <c r="I27" s="6">
        <v>0</v>
      </c>
      <c r="J27" s="7">
        <v>0</v>
      </c>
      <c r="K27" s="3"/>
      <c r="L27" s="7">
        <v>0</v>
      </c>
      <c r="M27" s="7">
        <v>0</v>
      </c>
      <c r="N27" s="7">
        <v>0</v>
      </c>
      <c r="O27" s="7">
        <v>0</v>
      </c>
      <c r="P27" s="7">
        <f t="shared" si="0"/>
        <v>0</v>
      </c>
      <c r="Q27" s="3"/>
      <c r="R27" s="7">
        <v>0</v>
      </c>
      <c r="S27" s="7">
        <v>0</v>
      </c>
      <c r="T27" s="3"/>
      <c r="U27" s="3"/>
      <c r="V27" s="3"/>
      <c r="W27" s="7">
        <v>0</v>
      </c>
      <c r="X27" s="3"/>
      <c r="Y27" s="3"/>
      <c r="Z27" s="3"/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3"/>
      <c r="AN27" s="7">
        <v>0</v>
      </c>
    </row>
    <row r="28" spans="1:40" x14ac:dyDescent="0.25">
      <c r="A28" s="11">
        <v>742776</v>
      </c>
      <c r="B28" s="10" t="s">
        <v>42</v>
      </c>
      <c r="C28" s="2" t="s">
        <v>62</v>
      </c>
      <c r="D28" s="2" t="s">
        <v>62</v>
      </c>
      <c r="E28" s="3"/>
      <c r="F28" s="3"/>
      <c r="G28" s="3"/>
      <c r="H28" s="3"/>
      <c r="I28" s="6">
        <v>0</v>
      </c>
      <c r="J28" s="7">
        <v>0</v>
      </c>
      <c r="K28" s="3"/>
      <c r="L28" s="7">
        <v>0</v>
      </c>
      <c r="M28" s="7">
        <v>0</v>
      </c>
      <c r="N28" s="7">
        <v>0</v>
      </c>
      <c r="O28" s="7">
        <v>0</v>
      </c>
      <c r="P28" s="7">
        <f t="shared" si="0"/>
        <v>0</v>
      </c>
      <c r="Q28" s="3"/>
      <c r="R28" s="7">
        <v>0</v>
      </c>
      <c r="S28" s="7">
        <v>0</v>
      </c>
      <c r="T28" s="3"/>
      <c r="U28" s="3"/>
      <c r="V28" s="3"/>
      <c r="W28" s="7">
        <v>0</v>
      </c>
      <c r="X28" s="3"/>
      <c r="Y28" s="3"/>
      <c r="Z28" s="3"/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3"/>
      <c r="AN28" s="7">
        <v>0</v>
      </c>
    </row>
    <row r="29" spans="1:40" x14ac:dyDescent="0.25">
      <c r="A29" s="11">
        <v>742776</v>
      </c>
      <c r="B29" s="4" t="s">
        <v>63</v>
      </c>
      <c r="C29" s="4"/>
      <c r="D29" s="4"/>
      <c r="E29" s="8">
        <v>0.84499999999999997</v>
      </c>
      <c r="F29" s="8">
        <v>0.13800000000000001</v>
      </c>
      <c r="G29" s="8">
        <v>0.158</v>
      </c>
      <c r="H29" s="8">
        <v>0</v>
      </c>
      <c r="I29" s="8">
        <v>0</v>
      </c>
      <c r="J29" s="9">
        <v>452</v>
      </c>
      <c r="K29" s="8">
        <v>0.439</v>
      </c>
      <c r="L29" s="9">
        <v>2632</v>
      </c>
      <c r="M29" s="9">
        <v>104</v>
      </c>
      <c r="N29" s="9">
        <v>813610</v>
      </c>
      <c r="O29" s="9">
        <v>811206</v>
      </c>
      <c r="P29" s="7">
        <f t="shared" si="0"/>
        <v>2404</v>
      </c>
      <c r="Q29" s="8">
        <v>3.0000000000000001E-3</v>
      </c>
      <c r="R29" s="9">
        <v>128400</v>
      </c>
      <c r="S29" s="9">
        <v>102250</v>
      </c>
      <c r="T29" s="8">
        <v>0.25600000000000001</v>
      </c>
      <c r="U29" s="9">
        <v>285</v>
      </c>
      <c r="V29" s="8">
        <v>-0.17199999999999999</v>
      </c>
      <c r="W29" s="9">
        <v>826160</v>
      </c>
      <c r="X29" s="8">
        <v>1.2999999999999999E-2</v>
      </c>
      <c r="Y29" s="8">
        <v>7.0000000000000001E-3</v>
      </c>
      <c r="Z29" s="8">
        <v>0.64600000000000002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9">
        <v>0</v>
      </c>
    </row>
    <row r="30" spans="1:40" x14ac:dyDescent="0.25">
      <c r="A30" s="11">
        <v>742821</v>
      </c>
      <c r="B30" s="10" t="s">
        <v>42</v>
      </c>
      <c r="C30" s="10" t="s">
        <v>43</v>
      </c>
      <c r="D30" s="2" t="s">
        <v>44</v>
      </c>
      <c r="E30" s="6">
        <v>1.0089999999999999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3"/>
      <c r="L30" s="7">
        <v>3</v>
      </c>
      <c r="M30" s="7">
        <v>0</v>
      </c>
      <c r="N30" s="7">
        <v>942</v>
      </c>
      <c r="O30" s="7">
        <v>934</v>
      </c>
      <c r="P30" s="7">
        <f t="shared" si="0"/>
        <v>8</v>
      </c>
      <c r="Q30" s="6">
        <v>8.9999999999999993E-3</v>
      </c>
      <c r="R30" s="7">
        <v>0</v>
      </c>
      <c r="S30" s="7">
        <v>0</v>
      </c>
      <c r="T30" s="3"/>
      <c r="U30" s="3"/>
      <c r="V30" s="3"/>
      <c r="W30" s="7">
        <v>937</v>
      </c>
      <c r="X30" s="6">
        <v>1.4E-2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7">
        <v>0</v>
      </c>
    </row>
    <row r="31" spans="1:40" x14ac:dyDescent="0.25">
      <c r="A31" s="11">
        <v>742821</v>
      </c>
      <c r="B31" s="10" t="s">
        <v>42</v>
      </c>
      <c r="C31" s="10" t="s">
        <v>43</v>
      </c>
      <c r="D31" s="2" t="s">
        <v>46</v>
      </c>
      <c r="E31" s="6">
        <v>1.0049999999999999</v>
      </c>
      <c r="F31" s="6">
        <v>5.3999999999999999E-2</v>
      </c>
      <c r="G31" s="6">
        <v>0.05</v>
      </c>
      <c r="H31" s="6">
        <v>0</v>
      </c>
      <c r="I31" s="6">
        <v>0</v>
      </c>
      <c r="J31" s="7">
        <v>49</v>
      </c>
      <c r="K31" s="6">
        <v>-0.23400000000000001</v>
      </c>
      <c r="L31" s="7">
        <v>542</v>
      </c>
      <c r="M31" s="7">
        <v>21</v>
      </c>
      <c r="N31" s="7">
        <v>280266</v>
      </c>
      <c r="O31" s="7">
        <v>265545</v>
      </c>
      <c r="P31" s="7">
        <f t="shared" si="0"/>
        <v>14721</v>
      </c>
      <c r="Q31" s="6">
        <v>5.5E-2</v>
      </c>
      <c r="R31" s="7">
        <v>13312</v>
      </c>
      <c r="S31" s="7">
        <v>21294</v>
      </c>
      <c r="T31" s="6">
        <v>-0.375</v>
      </c>
      <c r="U31" s="7">
        <v>268</v>
      </c>
      <c r="V31" s="6">
        <v>-0.252</v>
      </c>
      <c r="W31" s="7">
        <v>276476</v>
      </c>
      <c r="X31" s="6">
        <v>5.8000000000000003E-2</v>
      </c>
      <c r="Y31" s="6">
        <v>-1E-3</v>
      </c>
      <c r="Z31" s="6">
        <v>1.085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7">
        <v>0</v>
      </c>
    </row>
    <row r="32" spans="1:40" x14ac:dyDescent="0.25">
      <c r="A32" s="11">
        <v>742821</v>
      </c>
      <c r="B32" s="10" t="s">
        <v>42</v>
      </c>
      <c r="C32" s="10" t="s">
        <v>43</v>
      </c>
      <c r="D32" s="2" t="s">
        <v>48</v>
      </c>
      <c r="E32" s="6">
        <v>1.113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6">
        <v>-1</v>
      </c>
      <c r="L32" s="7">
        <v>3</v>
      </c>
      <c r="M32" s="7">
        <v>0</v>
      </c>
      <c r="N32" s="7">
        <v>545</v>
      </c>
      <c r="O32" s="7">
        <v>490</v>
      </c>
      <c r="P32" s="7">
        <f t="shared" si="0"/>
        <v>55</v>
      </c>
      <c r="Q32" s="6">
        <v>0.113</v>
      </c>
      <c r="R32" s="7">
        <v>0</v>
      </c>
      <c r="S32" s="7">
        <v>378</v>
      </c>
      <c r="T32" s="6">
        <v>-1</v>
      </c>
      <c r="U32" s="3"/>
      <c r="V32" s="3"/>
      <c r="W32" s="7">
        <v>516</v>
      </c>
      <c r="X32" s="6">
        <v>1.177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7">
        <v>0</v>
      </c>
    </row>
    <row r="33" spans="1:40" x14ac:dyDescent="0.25">
      <c r="A33" s="11">
        <v>742821</v>
      </c>
      <c r="B33" s="10" t="s">
        <v>42</v>
      </c>
      <c r="C33" s="10" t="s">
        <v>43</v>
      </c>
      <c r="D33" s="2" t="s">
        <v>49</v>
      </c>
      <c r="E33" s="6">
        <v>-0.219</v>
      </c>
      <c r="F33" s="6">
        <v>0.5</v>
      </c>
      <c r="G33" s="6">
        <v>0</v>
      </c>
      <c r="H33" s="6">
        <v>0</v>
      </c>
      <c r="I33" s="6">
        <v>0</v>
      </c>
      <c r="J33" s="7">
        <v>0</v>
      </c>
      <c r="K33" s="3"/>
      <c r="L33" s="7">
        <v>1</v>
      </c>
      <c r="M33" s="7">
        <v>-1</v>
      </c>
      <c r="N33" s="7">
        <v>-46</v>
      </c>
      <c r="O33" s="7">
        <v>210</v>
      </c>
      <c r="P33" s="7">
        <f t="shared" si="0"/>
        <v>-256</v>
      </c>
      <c r="Q33" s="6">
        <v>-1.2190000000000001</v>
      </c>
      <c r="R33" s="7">
        <v>0</v>
      </c>
      <c r="S33" s="7">
        <v>0</v>
      </c>
      <c r="T33" s="3"/>
      <c r="U33" s="3"/>
      <c r="V33" s="3"/>
      <c r="W33" s="7">
        <v>72</v>
      </c>
      <c r="X33" s="6">
        <v>-0.64700000000000002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7">
        <v>0</v>
      </c>
    </row>
    <row r="34" spans="1:40" x14ac:dyDescent="0.25">
      <c r="A34" s="11">
        <v>742821</v>
      </c>
      <c r="B34" s="10" t="s">
        <v>42</v>
      </c>
      <c r="C34" s="10" t="s">
        <v>43</v>
      </c>
      <c r="D34" s="2" t="s">
        <v>50</v>
      </c>
      <c r="E34" s="6">
        <v>0.89300000000000002</v>
      </c>
      <c r="F34" s="6">
        <v>0.17599999999999999</v>
      </c>
      <c r="G34" s="6">
        <v>0.114</v>
      </c>
      <c r="H34" s="6">
        <v>0</v>
      </c>
      <c r="I34" s="6">
        <v>0</v>
      </c>
      <c r="J34" s="7">
        <v>2</v>
      </c>
      <c r="K34" s="6">
        <v>-0.81799999999999995</v>
      </c>
      <c r="L34" s="7">
        <v>16</v>
      </c>
      <c r="M34" s="7">
        <v>-1</v>
      </c>
      <c r="N34" s="7">
        <v>3220</v>
      </c>
      <c r="O34" s="7">
        <v>3198</v>
      </c>
      <c r="P34" s="7">
        <f t="shared" si="0"/>
        <v>22</v>
      </c>
      <c r="Q34" s="6">
        <v>7.0000000000000001E-3</v>
      </c>
      <c r="R34" s="7">
        <v>363</v>
      </c>
      <c r="S34" s="7">
        <v>1865</v>
      </c>
      <c r="T34" s="6">
        <v>-0.80500000000000005</v>
      </c>
      <c r="U34" s="7">
        <v>182</v>
      </c>
      <c r="V34" s="6">
        <v>7.1999999999999995E-2</v>
      </c>
      <c r="W34" s="7">
        <v>3075</v>
      </c>
      <c r="X34" s="6">
        <v>0.17599999999999999</v>
      </c>
      <c r="Y34" s="6">
        <v>0</v>
      </c>
      <c r="Z34" s="6">
        <v>0.34100000000000003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7">
        <v>0</v>
      </c>
    </row>
    <row r="35" spans="1:40" x14ac:dyDescent="0.25">
      <c r="A35" s="11">
        <v>742821</v>
      </c>
      <c r="B35" s="10" t="s">
        <v>42</v>
      </c>
      <c r="C35" s="10" t="s">
        <v>43</v>
      </c>
      <c r="D35" s="2" t="s">
        <v>52</v>
      </c>
      <c r="E35" s="6">
        <v>1.002</v>
      </c>
      <c r="F35" s="6">
        <v>0.16700000000000001</v>
      </c>
      <c r="G35" s="6">
        <v>0.34</v>
      </c>
      <c r="H35" s="6">
        <v>0</v>
      </c>
      <c r="I35" s="6">
        <v>0</v>
      </c>
      <c r="J35" s="7">
        <v>2</v>
      </c>
      <c r="K35" s="6">
        <v>0</v>
      </c>
      <c r="L35" s="7">
        <v>7</v>
      </c>
      <c r="M35" s="7">
        <v>1</v>
      </c>
      <c r="N35" s="7">
        <v>701</v>
      </c>
      <c r="O35" s="7">
        <v>522</v>
      </c>
      <c r="P35" s="7">
        <f t="shared" si="0"/>
        <v>179</v>
      </c>
      <c r="Q35" s="6">
        <v>0.34200000000000003</v>
      </c>
      <c r="R35" s="7">
        <v>178</v>
      </c>
      <c r="S35" s="7">
        <v>70</v>
      </c>
      <c r="T35" s="6">
        <v>1.538</v>
      </c>
      <c r="U35" s="7">
        <v>89</v>
      </c>
      <c r="V35" s="6">
        <v>1.538</v>
      </c>
      <c r="W35" s="7">
        <v>669</v>
      </c>
      <c r="X35" s="6">
        <v>0.29599999999999999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7">
        <v>0</v>
      </c>
    </row>
    <row r="36" spans="1:40" x14ac:dyDescent="0.25">
      <c r="A36" s="11">
        <v>742821</v>
      </c>
      <c r="B36" s="10" t="s">
        <v>42</v>
      </c>
      <c r="C36" s="10" t="s">
        <v>43</v>
      </c>
      <c r="D36" s="2" t="s">
        <v>53</v>
      </c>
      <c r="E36" s="6">
        <v>0.85199999999999998</v>
      </c>
      <c r="F36" s="6">
        <v>0.19</v>
      </c>
      <c r="G36" s="6">
        <v>0.184</v>
      </c>
      <c r="H36" s="6">
        <v>0</v>
      </c>
      <c r="I36" s="6">
        <v>0</v>
      </c>
      <c r="J36" s="7">
        <v>4</v>
      </c>
      <c r="K36" s="6">
        <v>0.33300000000000002</v>
      </c>
      <c r="L36" s="7">
        <v>21</v>
      </c>
      <c r="M36" s="7">
        <v>0</v>
      </c>
      <c r="N36" s="7">
        <v>9711</v>
      </c>
      <c r="O36" s="7">
        <v>9370</v>
      </c>
      <c r="P36" s="7">
        <f t="shared" si="0"/>
        <v>341</v>
      </c>
      <c r="Q36" s="6">
        <v>3.5999999999999997E-2</v>
      </c>
      <c r="R36" s="7">
        <v>1727</v>
      </c>
      <c r="S36" s="7">
        <v>2074</v>
      </c>
      <c r="T36" s="6">
        <v>-0.16800000000000001</v>
      </c>
      <c r="U36" s="7">
        <v>432</v>
      </c>
      <c r="V36" s="6">
        <v>-0.376</v>
      </c>
      <c r="W36" s="7">
        <v>10143</v>
      </c>
      <c r="X36" s="6">
        <v>0.14199999999999999</v>
      </c>
      <c r="Y36" s="6">
        <v>0</v>
      </c>
      <c r="Z36" s="6">
        <v>0.29399999999999998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7">
        <v>0</v>
      </c>
    </row>
    <row r="37" spans="1:40" x14ac:dyDescent="0.25">
      <c r="A37" s="11">
        <v>742821</v>
      </c>
      <c r="B37" s="10" t="s">
        <v>42</v>
      </c>
      <c r="C37" s="10" t="s">
        <v>43</v>
      </c>
      <c r="D37" s="2" t="s">
        <v>54</v>
      </c>
      <c r="E37" s="6">
        <v>1.0389999999999999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3"/>
      <c r="L37" s="7">
        <v>3</v>
      </c>
      <c r="M37" s="7">
        <v>0</v>
      </c>
      <c r="N37" s="7">
        <v>449</v>
      </c>
      <c r="O37" s="7">
        <v>432</v>
      </c>
      <c r="P37" s="7">
        <f t="shared" si="0"/>
        <v>17</v>
      </c>
      <c r="Q37" s="6">
        <v>3.9E-2</v>
      </c>
      <c r="R37" s="7">
        <v>0</v>
      </c>
      <c r="S37" s="7">
        <v>0</v>
      </c>
      <c r="T37" s="3"/>
      <c r="U37" s="3"/>
      <c r="V37" s="3"/>
      <c r="W37" s="7">
        <v>440</v>
      </c>
      <c r="X37" s="6">
        <v>3.9E-2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7">
        <v>0</v>
      </c>
    </row>
    <row r="38" spans="1:40" x14ac:dyDescent="0.25">
      <c r="A38" s="11">
        <v>742821</v>
      </c>
      <c r="B38" s="10" t="s">
        <v>42</v>
      </c>
      <c r="C38" s="10" t="s">
        <v>55</v>
      </c>
      <c r="D38" s="2" t="s">
        <v>44</v>
      </c>
      <c r="E38" s="6">
        <v>1.034</v>
      </c>
      <c r="F38" s="6">
        <v>0</v>
      </c>
      <c r="G38" s="6">
        <v>1.7000000000000001E-2</v>
      </c>
      <c r="H38" s="6">
        <v>0</v>
      </c>
      <c r="I38" s="6">
        <v>0</v>
      </c>
      <c r="J38" s="7">
        <v>1</v>
      </c>
      <c r="K38" s="3"/>
      <c r="L38" s="7">
        <v>21</v>
      </c>
      <c r="M38" s="7">
        <v>1</v>
      </c>
      <c r="N38" s="7">
        <v>2040</v>
      </c>
      <c r="O38" s="7">
        <v>1939</v>
      </c>
      <c r="P38" s="7">
        <f t="shared" si="0"/>
        <v>101</v>
      </c>
      <c r="Q38" s="6">
        <v>5.1999999999999998E-2</v>
      </c>
      <c r="R38" s="7">
        <v>34</v>
      </c>
      <c r="S38" s="7">
        <v>0</v>
      </c>
      <c r="T38" s="3"/>
      <c r="U38" s="7">
        <v>34</v>
      </c>
      <c r="V38" s="3"/>
      <c r="W38" s="7">
        <v>2002</v>
      </c>
      <c r="X38" s="6">
        <v>0.04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7">
        <v>0</v>
      </c>
    </row>
    <row r="39" spans="1:40" x14ac:dyDescent="0.25">
      <c r="A39" s="11">
        <v>742821</v>
      </c>
      <c r="B39" s="10" t="s">
        <v>42</v>
      </c>
      <c r="C39" s="10" t="s">
        <v>55</v>
      </c>
      <c r="D39" s="2" t="s">
        <v>46</v>
      </c>
      <c r="E39" s="3"/>
      <c r="F39" s="3"/>
      <c r="G39" s="3"/>
      <c r="H39" s="3"/>
      <c r="I39" s="6">
        <v>0</v>
      </c>
      <c r="J39" s="7">
        <v>0</v>
      </c>
      <c r="K39" s="3"/>
      <c r="L39" s="7">
        <v>0</v>
      </c>
      <c r="M39" s="7">
        <v>0</v>
      </c>
      <c r="N39" s="7">
        <v>0</v>
      </c>
      <c r="O39" s="7">
        <v>0</v>
      </c>
      <c r="P39" s="7">
        <f t="shared" si="0"/>
        <v>0</v>
      </c>
      <c r="Q39" s="3"/>
      <c r="R39" s="7">
        <v>0</v>
      </c>
      <c r="S39" s="7">
        <v>0</v>
      </c>
      <c r="T39" s="3"/>
      <c r="U39" s="3"/>
      <c r="V39" s="3"/>
      <c r="W39" s="7">
        <v>0</v>
      </c>
      <c r="X39" s="3"/>
      <c r="Y39" s="3"/>
      <c r="Z39" s="3"/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3"/>
      <c r="AN39" s="7">
        <v>0</v>
      </c>
    </row>
    <row r="40" spans="1:40" x14ac:dyDescent="0.25">
      <c r="A40" s="11">
        <v>742821</v>
      </c>
      <c r="B40" s="10" t="s">
        <v>42</v>
      </c>
      <c r="C40" s="10" t="s">
        <v>55</v>
      </c>
      <c r="D40" s="2" t="s">
        <v>56</v>
      </c>
      <c r="E40" s="3"/>
      <c r="F40" s="3"/>
      <c r="G40" s="3"/>
      <c r="H40" s="3"/>
      <c r="I40" s="6">
        <v>0</v>
      </c>
      <c r="J40" s="7">
        <v>0</v>
      </c>
      <c r="K40" s="3"/>
      <c r="L40" s="7">
        <v>0</v>
      </c>
      <c r="M40" s="7">
        <v>0</v>
      </c>
      <c r="N40" s="7">
        <v>0</v>
      </c>
      <c r="O40" s="7">
        <v>0</v>
      </c>
      <c r="P40" s="7">
        <f t="shared" si="0"/>
        <v>0</v>
      </c>
      <c r="Q40" s="3"/>
      <c r="R40" s="7">
        <v>0</v>
      </c>
      <c r="S40" s="7">
        <v>0</v>
      </c>
      <c r="T40" s="3"/>
      <c r="U40" s="3"/>
      <c r="V40" s="3"/>
      <c r="W40" s="7">
        <v>0</v>
      </c>
      <c r="X40" s="3"/>
      <c r="Y40" s="3"/>
      <c r="Z40" s="3"/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3"/>
      <c r="AN40" s="7">
        <v>0</v>
      </c>
    </row>
    <row r="41" spans="1:40" x14ac:dyDescent="0.25">
      <c r="A41" s="11">
        <v>742821</v>
      </c>
      <c r="B41" s="10" t="s">
        <v>42</v>
      </c>
      <c r="C41" s="10" t="s">
        <v>55</v>
      </c>
      <c r="D41" s="2" t="s">
        <v>57</v>
      </c>
      <c r="E41" s="6">
        <v>0.82399999999999995</v>
      </c>
      <c r="F41" s="6">
        <v>0.25</v>
      </c>
      <c r="G41" s="6">
        <v>0</v>
      </c>
      <c r="H41" s="6">
        <v>0</v>
      </c>
      <c r="I41" s="6">
        <v>0</v>
      </c>
      <c r="J41" s="7">
        <v>0</v>
      </c>
      <c r="K41" s="6">
        <v>-1</v>
      </c>
      <c r="L41" s="7">
        <v>3</v>
      </c>
      <c r="M41" s="7">
        <v>-1</v>
      </c>
      <c r="N41" s="7">
        <v>1262</v>
      </c>
      <c r="O41" s="7">
        <v>1532</v>
      </c>
      <c r="P41" s="7">
        <f t="shared" si="0"/>
        <v>-270</v>
      </c>
      <c r="Q41" s="6">
        <v>-0.17599999999999999</v>
      </c>
      <c r="R41" s="7">
        <v>0</v>
      </c>
      <c r="S41" s="7">
        <v>307</v>
      </c>
      <c r="T41" s="6">
        <v>-1</v>
      </c>
      <c r="U41" s="3"/>
      <c r="V41" s="3"/>
      <c r="W41" s="7">
        <v>1336</v>
      </c>
      <c r="X41" s="6">
        <v>8.5999999999999993E-2</v>
      </c>
      <c r="Y41" s="6">
        <v>0</v>
      </c>
      <c r="Z41" s="6">
        <v>1.0820000000000001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7">
        <v>0</v>
      </c>
    </row>
    <row r="42" spans="1:40" x14ac:dyDescent="0.25">
      <c r="A42" s="11">
        <v>742821</v>
      </c>
      <c r="B42" s="10" t="s">
        <v>42</v>
      </c>
      <c r="C42" s="10" t="s">
        <v>55</v>
      </c>
      <c r="D42" s="2" t="s">
        <v>52</v>
      </c>
      <c r="E42" s="6">
        <v>1.0349999999999999</v>
      </c>
      <c r="F42" s="6">
        <v>0</v>
      </c>
      <c r="G42" s="6">
        <v>0</v>
      </c>
      <c r="H42" s="6">
        <v>0</v>
      </c>
      <c r="I42" s="6">
        <v>0</v>
      </c>
      <c r="J42" s="7">
        <v>0</v>
      </c>
      <c r="K42" s="3"/>
      <c r="L42" s="7">
        <v>1</v>
      </c>
      <c r="M42" s="7">
        <v>0</v>
      </c>
      <c r="N42" s="7">
        <v>8042</v>
      </c>
      <c r="O42" s="7">
        <v>7770</v>
      </c>
      <c r="P42" s="7">
        <f t="shared" si="0"/>
        <v>272</v>
      </c>
      <c r="Q42" s="6">
        <v>3.5000000000000003E-2</v>
      </c>
      <c r="R42" s="7">
        <v>0</v>
      </c>
      <c r="S42" s="7">
        <v>0</v>
      </c>
      <c r="T42" s="3"/>
      <c r="U42" s="3"/>
      <c r="V42" s="3"/>
      <c r="W42" s="7">
        <v>7970</v>
      </c>
      <c r="X42" s="6">
        <v>3.4000000000000002E-2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7">
        <v>0</v>
      </c>
    </row>
    <row r="43" spans="1:40" x14ac:dyDescent="0.25">
      <c r="A43" s="11">
        <v>742821</v>
      </c>
      <c r="B43" s="4" t="s">
        <v>63</v>
      </c>
      <c r="C43" s="4"/>
      <c r="D43" s="4"/>
      <c r="E43" s="8">
        <v>0.999</v>
      </c>
      <c r="F43" s="8">
        <v>6.3E-2</v>
      </c>
      <c r="G43" s="8">
        <v>5.2999999999999999E-2</v>
      </c>
      <c r="H43" s="8">
        <v>0</v>
      </c>
      <c r="I43" s="8">
        <v>0</v>
      </c>
      <c r="J43" s="9">
        <v>58</v>
      </c>
      <c r="K43" s="8">
        <v>-0.30099999999999999</v>
      </c>
      <c r="L43" s="9">
        <v>621</v>
      </c>
      <c r="M43" s="9">
        <v>20</v>
      </c>
      <c r="N43" s="9">
        <v>307132</v>
      </c>
      <c r="O43" s="9">
        <v>291942</v>
      </c>
      <c r="P43" s="7">
        <f t="shared" si="0"/>
        <v>15190</v>
      </c>
      <c r="Q43" s="8">
        <v>5.1999999999999998E-2</v>
      </c>
      <c r="R43" s="9">
        <v>15614</v>
      </c>
      <c r="S43" s="9">
        <v>25988</v>
      </c>
      <c r="T43" s="8">
        <v>-0.39900000000000002</v>
      </c>
      <c r="U43" s="9">
        <v>266</v>
      </c>
      <c r="V43" s="8">
        <v>-0.19700000000000001</v>
      </c>
      <c r="W43" s="9">
        <v>303635</v>
      </c>
      <c r="X43" s="8">
        <v>6.0999999999999999E-2</v>
      </c>
      <c r="Y43" s="8">
        <v>-1E-3</v>
      </c>
      <c r="Z43" s="8">
        <v>1.006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9">
        <v>0</v>
      </c>
    </row>
    <row r="44" spans="1:40" x14ac:dyDescent="0.25">
      <c r="A44" s="11">
        <v>742825</v>
      </c>
      <c r="B44" s="10" t="s">
        <v>42</v>
      </c>
      <c r="C44" s="10" t="s">
        <v>43</v>
      </c>
      <c r="D44" s="2" t="s">
        <v>45</v>
      </c>
      <c r="E44" s="6">
        <v>0</v>
      </c>
      <c r="F44" s="6">
        <v>4</v>
      </c>
      <c r="G44" s="6">
        <v>1.421</v>
      </c>
      <c r="H44" s="6">
        <v>0</v>
      </c>
      <c r="I44" s="6">
        <v>0</v>
      </c>
      <c r="J44" s="7">
        <v>5</v>
      </c>
      <c r="K44" s="6">
        <v>4</v>
      </c>
      <c r="L44" s="7">
        <v>2</v>
      </c>
      <c r="M44" s="7">
        <v>1</v>
      </c>
      <c r="N44" s="7">
        <v>273</v>
      </c>
      <c r="O44" s="7">
        <v>192</v>
      </c>
      <c r="P44" s="7">
        <f t="shared" si="0"/>
        <v>81</v>
      </c>
      <c r="Q44" s="6">
        <v>0.42099999999999999</v>
      </c>
      <c r="R44" s="7">
        <v>273</v>
      </c>
      <c r="S44" s="7">
        <v>192</v>
      </c>
      <c r="T44" s="6">
        <v>0.42099999999999999</v>
      </c>
      <c r="U44" s="7">
        <v>930</v>
      </c>
      <c r="V44" s="6">
        <v>-0.628</v>
      </c>
      <c r="W44" s="7">
        <v>407</v>
      </c>
      <c r="X44" s="6">
        <v>6.1580000000000004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7">
        <v>0</v>
      </c>
    </row>
    <row r="45" spans="1:40" x14ac:dyDescent="0.25">
      <c r="A45" s="11">
        <v>742825</v>
      </c>
      <c r="B45" s="10" t="s">
        <v>42</v>
      </c>
      <c r="C45" s="10" t="s">
        <v>43</v>
      </c>
      <c r="D45" s="2" t="s">
        <v>46</v>
      </c>
      <c r="E45" s="6">
        <v>0.86599999999999999</v>
      </c>
      <c r="F45" s="6">
        <v>0.121</v>
      </c>
      <c r="G45" s="6">
        <v>0.56899999999999995</v>
      </c>
      <c r="H45" s="6">
        <v>0</v>
      </c>
      <c r="I45" s="6">
        <v>0</v>
      </c>
      <c r="J45" s="7">
        <v>20</v>
      </c>
      <c r="K45" s="6">
        <v>5.2999999999999999E-2</v>
      </c>
      <c r="L45" s="7">
        <v>49</v>
      </c>
      <c r="M45" s="7">
        <v>16</v>
      </c>
      <c r="N45" s="7">
        <v>19736</v>
      </c>
      <c r="O45" s="7">
        <v>13750</v>
      </c>
      <c r="P45" s="7">
        <f t="shared" si="0"/>
        <v>5986</v>
      </c>
      <c r="Q45" s="6">
        <v>0.435</v>
      </c>
      <c r="R45" s="7">
        <v>7823</v>
      </c>
      <c r="S45" s="7">
        <v>5817</v>
      </c>
      <c r="T45" s="6">
        <v>0.34499999999999997</v>
      </c>
      <c r="U45" s="7">
        <v>382</v>
      </c>
      <c r="V45" s="6">
        <v>0.246</v>
      </c>
      <c r="W45" s="7">
        <v>17349</v>
      </c>
      <c r="X45" s="6">
        <v>0.68400000000000005</v>
      </c>
      <c r="Y45" s="6">
        <v>7.0000000000000001E-3</v>
      </c>
      <c r="Z45" s="6">
        <v>1.37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7">
        <v>0</v>
      </c>
    </row>
    <row r="46" spans="1:40" ht="22.5" x14ac:dyDescent="0.25">
      <c r="A46" s="11">
        <v>742825</v>
      </c>
      <c r="B46" s="10" t="s">
        <v>42</v>
      </c>
      <c r="C46" s="10" t="s">
        <v>43</v>
      </c>
      <c r="D46" s="2" t="s">
        <v>47</v>
      </c>
      <c r="E46" s="6">
        <v>1.02</v>
      </c>
      <c r="F46" s="6">
        <v>0</v>
      </c>
      <c r="G46" s="6">
        <v>0</v>
      </c>
      <c r="H46" s="6">
        <v>0</v>
      </c>
      <c r="I46" s="6">
        <v>0</v>
      </c>
      <c r="J46" s="7">
        <v>0</v>
      </c>
      <c r="K46" s="6">
        <v>-1</v>
      </c>
      <c r="L46" s="7">
        <v>1</v>
      </c>
      <c r="M46" s="7">
        <v>0</v>
      </c>
      <c r="N46" s="7">
        <v>1027</v>
      </c>
      <c r="O46" s="7">
        <v>1007</v>
      </c>
      <c r="P46" s="7">
        <f t="shared" si="0"/>
        <v>20</v>
      </c>
      <c r="Q46" s="6">
        <v>0.02</v>
      </c>
      <c r="R46" s="7">
        <v>0</v>
      </c>
      <c r="S46" s="7">
        <v>1007</v>
      </c>
      <c r="T46" s="6">
        <v>-1</v>
      </c>
      <c r="U46" s="3"/>
      <c r="V46" s="3"/>
      <c r="W46" s="7">
        <v>1025</v>
      </c>
      <c r="X46" s="6">
        <v>0.122</v>
      </c>
      <c r="Y46" s="6">
        <v>0</v>
      </c>
      <c r="Z46" s="6">
        <v>1.861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7">
        <v>0</v>
      </c>
    </row>
    <row r="47" spans="1:40" x14ac:dyDescent="0.25">
      <c r="A47" s="11">
        <v>742825</v>
      </c>
      <c r="B47" s="10" t="s">
        <v>42</v>
      </c>
      <c r="C47" s="10" t="s">
        <v>43</v>
      </c>
      <c r="D47" s="2" t="s">
        <v>50</v>
      </c>
      <c r="E47" s="6">
        <v>0.70699999999999996</v>
      </c>
      <c r="F47" s="6">
        <v>0.4</v>
      </c>
      <c r="G47" s="6">
        <v>0.53800000000000003</v>
      </c>
      <c r="H47" s="6">
        <v>0</v>
      </c>
      <c r="I47" s="6">
        <v>0</v>
      </c>
      <c r="J47" s="7">
        <v>12</v>
      </c>
      <c r="K47" s="6">
        <v>-0.36799999999999999</v>
      </c>
      <c r="L47" s="7">
        <v>30</v>
      </c>
      <c r="M47" s="7">
        <v>0</v>
      </c>
      <c r="N47" s="7">
        <v>8784</v>
      </c>
      <c r="O47" s="7">
        <v>7050</v>
      </c>
      <c r="P47" s="7">
        <f t="shared" si="0"/>
        <v>1734</v>
      </c>
      <c r="Q47" s="6">
        <v>0.246</v>
      </c>
      <c r="R47" s="7">
        <v>3796</v>
      </c>
      <c r="S47" s="7">
        <v>4235</v>
      </c>
      <c r="T47" s="6">
        <v>-0.104</v>
      </c>
      <c r="U47" s="7">
        <v>316</v>
      </c>
      <c r="V47" s="6">
        <v>0.41899999999999998</v>
      </c>
      <c r="W47" s="7">
        <v>8750</v>
      </c>
      <c r="X47" s="6">
        <v>0.76</v>
      </c>
      <c r="Y47" s="6">
        <v>0</v>
      </c>
      <c r="Z47" s="6">
        <v>0.68600000000000005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7">
        <v>0</v>
      </c>
    </row>
    <row r="48" spans="1:40" x14ac:dyDescent="0.25">
      <c r="A48" s="11">
        <v>742825</v>
      </c>
      <c r="B48" s="10" t="s">
        <v>42</v>
      </c>
      <c r="C48" s="10" t="s">
        <v>43</v>
      </c>
      <c r="D48" s="2" t="s">
        <v>52</v>
      </c>
      <c r="E48" s="6">
        <v>1.0349999999999999</v>
      </c>
      <c r="F48" s="6">
        <v>0</v>
      </c>
      <c r="G48" s="6">
        <v>0.20599999999999999</v>
      </c>
      <c r="H48" s="6">
        <v>0</v>
      </c>
      <c r="I48" s="6">
        <v>0</v>
      </c>
      <c r="J48" s="7">
        <v>1</v>
      </c>
      <c r="K48" s="6">
        <v>0</v>
      </c>
      <c r="L48" s="7">
        <v>2</v>
      </c>
      <c r="M48" s="7">
        <v>1</v>
      </c>
      <c r="N48" s="7">
        <v>73</v>
      </c>
      <c r="O48" s="7">
        <v>59</v>
      </c>
      <c r="P48" s="7">
        <f t="shared" si="0"/>
        <v>14</v>
      </c>
      <c r="Q48" s="6">
        <v>0.24099999999999999</v>
      </c>
      <c r="R48" s="7">
        <v>12</v>
      </c>
      <c r="S48" s="7">
        <v>59</v>
      </c>
      <c r="T48" s="6">
        <v>-0.79400000000000004</v>
      </c>
      <c r="U48" s="7">
        <v>12</v>
      </c>
      <c r="V48" s="6">
        <v>-0.79400000000000004</v>
      </c>
      <c r="W48" s="7">
        <v>67</v>
      </c>
      <c r="X48" s="6">
        <v>0.214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7">
        <v>0</v>
      </c>
    </row>
    <row r="49" spans="1:40" x14ac:dyDescent="0.25">
      <c r="A49" s="11">
        <v>742825</v>
      </c>
      <c r="B49" s="10" t="s">
        <v>42</v>
      </c>
      <c r="C49" s="10" t="s">
        <v>43</v>
      </c>
      <c r="D49" s="2" t="s">
        <v>53</v>
      </c>
      <c r="E49" s="6">
        <v>0.94599999999999995</v>
      </c>
      <c r="F49" s="6">
        <v>0.2</v>
      </c>
      <c r="G49" s="6">
        <v>0.27700000000000002</v>
      </c>
      <c r="H49" s="6">
        <v>0</v>
      </c>
      <c r="I49" s="6">
        <v>0</v>
      </c>
      <c r="J49" s="7">
        <v>4</v>
      </c>
      <c r="K49" s="6">
        <v>1</v>
      </c>
      <c r="L49" s="7">
        <v>8</v>
      </c>
      <c r="M49" s="7">
        <v>3</v>
      </c>
      <c r="N49" s="7">
        <v>11273</v>
      </c>
      <c r="O49" s="7">
        <v>9218</v>
      </c>
      <c r="P49" s="7">
        <f t="shared" si="0"/>
        <v>2055</v>
      </c>
      <c r="Q49" s="6">
        <v>0.223</v>
      </c>
      <c r="R49" s="7">
        <v>2552</v>
      </c>
      <c r="S49" s="7">
        <v>2103</v>
      </c>
      <c r="T49" s="6">
        <v>0.21299999999999999</v>
      </c>
      <c r="U49" s="7">
        <v>638</v>
      </c>
      <c r="V49" s="6">
        <v>-0.39300000000000002</v>
      </c>
      <c r="W49" s="7">
        <v>10666</v>
      </c>
      <c r="X49" s="6">
        <v>0.379</v>
      </c>
      <c r="Y49" s="6">
        <v>1E-3</v>
      </c>
      <c r="Z49" s="6">
        <v>0.55000000000000004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7">
        <v>0</v>
      </c>
    </row>
    <row r="50" spans="1:40" x14ac:dyDescent="0.25">
      <c r="A50" s="11">
        <v>742825</v>
      </c>
      <c r="B50" s="10" t="s">
        <v>42</v>
      </c>
      <c r="C50" s="10" t="s">
        <v>55</v>
      </c>
      <c r="D50" s="2" t="s">
        <v>44</v>
      </c>
      <c r="E50" s="6">
        <v>1.0149999999999999</v>
      </c>
      <c r="F50" s="6">
        <v>0</v>
      </c>
      <c r="G50" s="6">
        <v>12.381</v>
      </c>
      <c r="H50" s="6">
        <v>0</v>
      </c>
      <c r="I50" s="6">
        <v>0</v>
      </c>
      <c r="J50" s="7">
        <v>1</v>
      </c>
      <c r="K50" s="3"/>
      <c r="L50" s="7">
        <v>2</v>
      </c>
      <c r="M50" s="7">
        <v>1</v>
      </c>
      <c r="N50" s="7">
        <v>408</v>
      </c>
      <c r="O50" s="7">
        <v>30</v>
      </c>
      <c r="P50" s="7">
        <f t="shared" si="0"/>
        <v>378</v>
      </c>
      <c r="Q50" s="6">
        <v>12.396000000000001</v>
      </c>
      <c r="R50" s="7">
        <v>377</v>
      </c>
      <c r="S50" s="7">
        <v>0</v>
      </c>
      <c r="T50" s="3"/>
      <c r="U50" s="7">
        <v>377</v>
      </c>
      <c r="V50" s="3"/>
      <c r="W50" s="7">
        <v>178</v>
      </c>
      <c r="X50" s="6">
        <v>4.8330000000000002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7">
        <v>0</v>
      </c>
    </row>
    <row r="51" spans="1:40" x14ac:dyDescent="0.25">
      <c r="A51" s="11">
        <v>742825</v>
      </c>
      <c r="B51" s="10" t="s">
        <v>42</v>
      </c>
      <c r="C51" s="10" t="s">
        <v>55</v>
      </c>
      <c r="D51" s="2" t="s">
        <v>56</v>
      </c>
      <c r="E51" s="6">
        <v>0.49299999999999999</v>
      </c>
      <c r="F51" s="6">
        <v>0.4</v>
      </c>
      <c r="G51" s="6">
        <v>0</v>
      </c>
      <c r="H51" s="6">
        <v>0</v>
      </c>
      <c r="I51" s="6">
        <v>0</v>
      </c>
      <c r="J51" s="7">
        <v>0</v>
      </c>
      <c r="K51" s="6">
        <v>-1</v>
      </c>
      <c r="L51" s="7">
        <v>3</v>
      </c>
      <c r="M51" s="7">
        <v>-2</v>
      </c>
      <c r="N51" s="7">
        <v>1338</v>
      </c>
      <c r="O51" s="7">
        <v>2714</v>
      </c>
      <c r="P51" s="7">
        <f t="shared" si="0"/>
        <v>-1376</v>
      </c>
      <c r="Q51" s="6">
        <v>-0.50700000000000001</v>
      </c>
      <c r="R51" s="7">
        <v>0</v>
      </c>
      <c r="S51" s="7">
        <v>622</v>
      </c>
      <c r="T51" s="6">
        <v>-1</v>
      </c>
      <c r="U51" s="3"/>
      <c r="V51" s="3"/>
      <c r="W51" s="7">
        <v>2351</v>
      </c>
      <c r="X51" s="6">
        <v>-0.01</v>
      </c>
      <c r="Y51" s="6">
        <v>0</v>
      </c>
      <c r="Z51" s="6">
        <v>1.1000000000000001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7">
        <v>0</v>
      </c>
    </row>
    <row r="52" spans="1:40" x14ac:dyDescent="0.25">
      <c r="A52" s="11">
        <v>742825</v>
      </c>
      <c r="B52" s="10" t="s">
        <v>42</v>
      </c>
      <c r="C52" s="10" t="s">
        <v>55</v>
      </c>
      <c r="D52" s="2" t="s">
        <v>59</v>
      </c>
      <c r="E52" s="6">
        <v>0.28100000000000003</v>
      </c>
      <c r="F52" s="6">
        <v>0.66700000000000004</v>
      </c>
      <c r="G52" s="6">
        <v>1.028</v>
      </c>
      <c r="H52" s="6">
        <v>0</v>
      </c>
      <c r="I52" s="6">
        <v>0</v>
      </c>
      <c r="J52" s="7">
        <v>1</v>
      </c>
      <c r="K52" s="6">
        <v>0</v>
      </c>
      <c r="L52" s="7">
        <v>2</v>
      </c>
      <c r="M52" s="7">
        <v>-1</v>
      </c>
      <c r="N52" s="7">
        <v>581</v>
      </c>
      <c r="O52" s="7">
        <v>444</v>
      </c>
      <c r="P52" s="7">
        <f t="shared" si="0"/>
        <v>137</v>
      </c>
      <c r="Q52" s="6">
        <v>0.308</v>
      </c>
      <c r="R52" s="7">
        <v>457</v>
      </c>
      <c r="S52" s="7">
        <v>163</v>
      </c>
      <c r="T52" s="6">
        <v>1.7949999999999999</v>
      </c>
      <c r="U52" s="7">
        <v>457</v>
      </c>
      <c r="V52" s="6">
        <v>1.7949999999999999</v>
      </c>
      <c r="W52" s="7">
        <v>808</v>
      </c>
      <c r="X52" s="6">
        <v>1.875</v>
      </c>
      <c r="Y52" s="6">
        <v>0</v>
      </c>
      <c r="Z52" s="6">
        <v>0.56599999999999995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7">
        <v>0</v>
      </c>
    </row>
    <row r="53" spans="1:40" x14ac:dyDescent="0.25">
      <c r="A53" s="11">
        <v>742825</v>
      </c>
      <c r="B53" s="10" t="s">
        <v>42</v>
      </c>
      <c r="C53" s="10" t="s">
        <v>55</v>
      </c>
      <c r="D53" s="2" t="s">
        <v>52</v>
      </c>
      <c r="E53" s="6">
        <v>0.78300000000000003</v>
      </c>
      <c r="F53" s="6">
        <v>0.2</v>
      </c>
      <c r="G53" s="6">
        <v>0</v>
      </c>
      <c r="H53" s="6">
        <v>0</v>
      </c>
      <c r="I53" s="6">
        <v>0</v>
      </c>
      <c r="J53" s="7">
        <v>0</v>
      </c>
      <c r="K53" s="6">
        <v>-1</v>
      </c>
      <c r="L53" s="7">
        <v>4</v>
      </c>
      <c r="M53" s="7">
        <v>-1</v>
      </c>
      <c r="N53" s="7">
        <v>2895</v>
      </c>
      <c r="O53" s="7">
        <v>3696</v>
      </c>
      <c r="P53" s="7">
        <f t="shared" si="0"/>
        <v>-801</v>
      </c>
      <c r="Q53" s="6">
        <v>-0.217</v>
      </c>
      <c r="R53" s="7">
        <v>0</v>
      </c>
      <c r="S53" s="7">
        <v>356</v>
      </c>
      <c r="T53" s="6">
        <v>-1</v>
      </c>
      <c r="U53" s="3"/>
      <c r="V53" s="3"/>
      <c r="W53" s="7">
        <v>3461</v>
      </c>
      <c r="X53" s="6">
        <v>-4.5999999999999999E-2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7">
        <v>0</v>
      </c>
    </row>
    <row r="54" spans="1:40" x14ac:dyDescent="0.25">
      <c r="A54" s="11">
        <v>742825</v>
      </c>
      <c r="B54" s="4" t="s">
        <v>63</v>
      </c>
      <c r="C54" s="4"/>
      <c r="D54" s="4"/>
      <c r="E54" s="8">
        <v>0.81499999999999995</v>
      </c>
      <c r="F54" s="8">
        <v>0.30599999999999999</v>
      </c>
      <c r="G54" s="8">
        <v>0.40100000000000002</v>
      </c>
      <c r="H54" s="8">
        <v>0</v>
      </c>
      <c r="I54" s="8">
        <v>0</v>
      </c>
      <c r="J54" s="9">
        <v>44</v>
      </c>
      <c r="K54" s="8">
        <v>-8.3000000000000004E-2</v>
      </c>
      <c r="L54" s="9">
        <v>103</v>
      </c>
      <c r="M54" s="9">
        <v>18</v>
      </c>
      <c r="N54" s="9">
        <v>46388</v>
      </c>
      <c r="O54" s="9">
        <v>38160</v>
      </c>
      <c r="P54" s="7">
        <f t="shared" si="0"/>
        <v>8228</v>
      </c>
      <c r="Q54" s="8">
        <v>0.216</v>
      </c>
      <c r="R54" s="9">
        <v>15290</v>
      </c>
      <c r="S54" s="9">
        <v>14554</v>
      </c>
      <c r="T54" s="8">
        <v>5.0999999999999997E-2</v>
      </c>
      <c r="U54" s="9">
        <v>384</v>
      </c>
      <c r="V54" s="8">
        <v>0.24299999999999999</v>
      </c>
      <c r="W54" s="9">
        <v>45062</v>
      </c>
      <c r="X54" s="8">
        <v>0.48499999999999999</v>
      </c>
      <c r="Y54" s="8">
        <v>3.0000000000000001E-3</v>
      </c>
      <c r="Z54" s="8">
        <v>0.90100000000000002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9">
        <v>0</v>
      </c>
    </row>
    <row r="55" spans="1:40" x14ac:dyDescent="0.25">
      <c r="A55" s="11">
        <v>742826</v>
      </c>
      <c r="B55" s="10" t="s">
        <v>42</v>
      </c>
      <c r="C55" s="10" t="s">
        <v>43</v>
      </c>
      <c r="D55" s="2" t="s">
        <v>44</v>
      </c>
      <c r="E55" s="6">
        <v>1.044</v>
      </c>
      <c r="F55" s="6">
        <v>0</v>
      </c>
      <c r="G55" s="6">
        <v>0</v>
      </c>
      <c r="H55" s="6">
        <v>0</v>
      </c>
      <c r="I55" s="6">
        <v>0</v>
      </c>
      <c r="J55" s="7">
        <v>0</v>
      </c>
      <c r="K55" s="3"/>
      <c r="L55" s="7">
        <v>4</v>
      </c>
      <c r="M55" s="7">
        <v>0</v>
      </c>
      <c r="N55" s="7">
        <v>402</v>
      </c>
      <c r="O55" s="7">
        <v>385</v>
      </c>
      <c r="P55" s="7">
        <f t="shared" si="0"/>
        <v>17</v>
      </c>
      <c r="Q55" s="6">
        <v>4.3999999999999997E-2</v>
      </c>
      <c r="R55" s="7">
        <v>0</v>
      </c>
      <c r="S55" s="7">
        <v>0</v>
      </c>
      <c r="T55" s="3"/>
      <c r="U55" s="3"/>
      <c r="V55" s="3"/>
      <c r="W55" s="7">
        <v>391</v>
      </c>
      <c r="X55" s="6">
        <v>-0.219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7">
        <v>0</v>
      </c>
    </row>
    <row r="56" spans="1:40" x14ac:dyDescent="0.25">
      <c r="A56" s="11">
        <v>742826</v>
      </c>
      <c r="B56" s="10" t="s">
        <v>42</v>
      </c>
      <c r="C56" s="10" t="s">
        <v>43</v>
      </c>
      <c r="D56" s="2" t="s">
        <v>46</v>
      </c>
      <c r="E56" s="6">
        <v>0.85299999999999998</v>
      </c>
      <c r="F56" s="6">
        <v>0.14799999999999999</v>
      </c>
      <c r="G56" s="6">
        <v>0.157</v>
      </c>
      <c r="H56" s="6">
        <v>0</v>
      </c>
      <c r="I56" s="6">
        <v>0</v>
      </c>
      <c r="J56" s="7">
        <v>61</v>
      </c>
      <c r="K56" s="6">
        <v>-4.7E-2</v>
      </c>
      <c r="L56" s="7">
        <v>383</v>
      </c>
      <c r="M56" s="7">
        <v>5</v>
      </c>
      <c r="N56" s="7">
        <v>99641</v>
      </c>
      <c r="O56" s="7">
        <v>98627</v>
      </c>
      <c r="P56" s="7">
        <f t="shared" si="0"/>
        <v>1014</v>
      </c>
      <c r="Q56" s="6">
        <v>0.01</v>
      </c>
      <c r="R56" s="7">
        <v>15488</v>
      </c>
      <c r="S56" s="7">
        <v>18062</v>
      </c>
      <c r="T56" s="6">
        <v>-0.14199999999999999</v>
      </c>
      <c r="U56" s="7">
        <v>254</v>
      </c>
      <c r="V56" s="6">
        <v>-8.6999999999999994E-2</v>
      </c>
      <c r="W56" s="7">
        <v>99627</v>
      </c>
      <c r="X56" s="6">
        <v>-7.0000000000000001E-3</v>
      </c>
      <c r="Y56" s="6">
        <v>2.7E-2</v>
      </c>
      <c r="Z56" s="6">
        <v>0.73599999999999999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7">
        <v>0</v>
      </c>
    </row>
    <row r="57" spans="1:40" ht="22.5" x14ac:dyDescent="0.25">
      <c r="A57" s="11">
        <v>742826</v>
      </c>
      <c r="B57" s="10" t="s">
        <v>42</v>
      </c>
      <c r="C57" s="10" t="s">
        <v>43</v>
      </c>
      <c r="D57" s="2" t="s">
        <v>47</v>
      </c>
      <c r="E57" s="6">
        <v>1.0189999999999999</v>
      </c>
      <c r="F57" s="6">
        <v>0</v>
      </c>
      <c r="G57" s="6">
        <v>0</v>
      </c>
      <c r="H57" s="6">
        <v>0</v>
      </c>
      <c r="I57" s="6">
        <v>0</v>
      </c>
      <c r="J57" s="7">
        <v>0</v>
      </c>
      <c r="K57" s="3"/>
      <c r="L57" s="7">
        <v>1</v>
      </c>
      <c r="M57" s="7">
        <v>0</v>
      </c>
      <c r="N57" s="7">
        <v>364</v>
      </c>
      <c r="O57" s="7">
        <v>358</v>
      </c>
      <c r="P57" s="7">
        <f t="shared" si="0"/>
        <v>6</v>
      </c>
      <c r="Q57" s="6">
        <v>1.9E-2</v>
      </c>
      <c r="R57" s="7">
        <v>0</v>
      </c>
      <c r="S57" s="7">
        <v>0</v>
      </c>
      <c r="T57" s="3"/>
      <c r="U57" s="3"/>
      <c r="V57" s="3"/>
      <c r="W57" s="7">
        <v>359</v>
      </c>
      <c r="X57" s="6">
        <v>1.9E-2</v>
      </c>
      <c r="Y57" s="6">
        <v>0</v>
      </c>
      <c r="Z57" s="6">
        <v>1.26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7">
        <v>0</v>
      </c>
    </row>
    <row r="58" spans="1:40" x14ac:dyDescent="0.25">
      <c r="A58" s="11">
        <v>742826</v>
      </c>
      <c r="B58" s="10" t="s">
        <v>42</v>
      </c>
      <c r="C58" s="10" t="s">
        <v>43</v>
      </c>
      <c r="D58" s="2" t="s">
        <v>49</v>
      </c>
      <c r="E58" s="3"/>
      <c r="F58" s="3"/>
      <c r="G58" s="3"/>
      <c r="H58" s="3"/>
      <c r="I58" s="6">
        <v>0</v>
      </c>
      <c r="J58" s="7">
        <v>1</v>
      </c>
      <c r="K58" s="3"/>
      <c r="L58" s="7">
        <v>1</v>
      </c>
      <c r="M58" s="7">
        <v>1</v>
      </c>
      <c r="N58" s="7">
        <v>107</v>
      </c>
      <c r="O58" s="7">
        <v>0</v>
      </c>
      <c r="P58" s="7">
        <f t="shared" si="0"/>
        <v>107</v>
      </c>
      <c r="Q58" s="3"/>
      <c r="R58" s="7">
        <v>107</v>
      </c>
      <c r="S58" s="7">
        <v>0</v>
      </c>
      <c r="T58" s="3"/>
      <c r="U58" s="7">
        <v>107</v>
      </c>
      <c r="V58" s="3"/>
      <c r="W58" s="7">
        <v>19</v>
      </c>
      <c r="X58" s="3"/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7">
        <v>0</v>
      </c>
    </row>
    <row r="59" spans="1:40" x14ac:dyDescent="0.25">
      <c r="A59" s="11">
        <v>742826</v>
      </c>
      <c r="B59" s="10" t="s">
        <v>42</v>
      </c>
      <c r="C59" s="10" t="s">
        <v>43</v>
      </c>
      <c r="D59" s="2" t="s">
        <v>50</v>
      </c>
      <c r="E59" s="6">
        <v>0.88200000000000001</v>
      </c>
      <c r="F59" s="6">
        <v>0.16300000000000001</v>
      </c>
      <c r="G59" s="6">
        <v>9.5000000000000001E-2</v>
      </c>
      <c r="H59" s="6">
        <v>0</v>
      </c>
      <c r="I59" s="6">
        <v>0</v>
      </c>
      <c r="J59" s="7">
        <v>4</v>
      </c>
      <c r="K59" s="6">
        <v>-0.55600000000000005</v>
      </c>
      <c r="L59" s="7">
        <v>45</v>
      </c>
      <c r="M59" s="7">
        <v>-4</v>
      </c>
      <c r="N59" s="7">
        <v>10133</v>
      </c>
      <c r="O59" s="7">
        <v>10365</v>
      </c>
      <c r="P59" s="7">
        <f t="shared" si="0"/>
        <v>-232</v>
      </c>
      <c r="Q59" s="6">
        <v>-2.1999999999999999E-2</v>
      </c>
      <c r="R59" s="7">
        <v>988</v>
      </c>
      <c r="S59" s="7">
        <v>1582</v>
      </c>
      <c r="T59" s="6">
        <v>-0.375</v>
      </c>
      <c r="U59" s="7">
        <v>247</v>
      </c>
      <c r="V59" s="6">
        <v>0.40600000000000003</v>
      </c>
      <c r="W59" s="7">
        <v>10088</v>
      </c>
      <c r="X59" s="6">
        <v>4.8000000000000001E-2</v>
      </c>
      <c r="Y59" s="6">
        <v>4.7E-2</v>
      </c>
      <c r="Z59" s="6">
        <v>0.73599999999999999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7">
        <v>0</v>
      </c>
    </row>
    <row r="60" spans="1:40" x14ac:dyDescent="0.25">
      <c r="A60" s="11">
        <v>742826</v>
      </c>
      <c r="B60" s="10" t="s">
        <v>42</v>
      </c>
      <c r="C60" s="10" t="s">
        <v>43</v>
      </c>
      <c r="D60" s="2" t="s">
        <v>52</v>
      </c>
      <c r="E60" s="6">
        <v>1.0169999999999999</v>
      </c>
      <c r="F60" s="6">
        <v>4.8000000000000001E-2</v>
      </c>
      <c r="G60" s="6">
        <v>0.01</v>
      </c>
      <c r="H60" s="6">
        <v>0</v>
      </c>
      <c r="I60" s="6">
        <v>0</v>
      </c>
      <c r="J60" s="7">
        <v>1</v>
      </c>
      <c r="K60" s="6">
        <v>-0.83299999999999996</v>
      </c>
      <c r="L60" s="7">
        <v>41</v>
      </c>
      <c r="M60" s="7">
        <v>-1</v>
      </c>
      <c r="N60" s="7">
        <v>5347</v>
      </c>
      <c r="O60" s="7">
        <v>5210</v>
      </c>
      <c r="P60" s="7">
        <f t="shared" si="0"/>
        <v>137</v>
      </c>
      <c r="Q60" s="6">
        <v>2.5999999999999999E-2</v>
      </c>
      <c r="R60" s="7">
        <v>50</v>
      </c>
      <c r="S60" s="7">
        <v>1570</v>
      </c>
      <c r="T60" s="6">
        <v>-0.96799999999999997</v>
      </c>
      <c r="U60" s="7">
        <v>50</v>
      </c>
      <c r="V60" s="6">
        <v>-0.81100000000000005</v>
      </c>
      <c r="W60" s="7">
        <v>5258</v>
      </c>
      <c r="X60" s="6">
        <v>0.33500000000000002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7">
        <v>0</v>
      </c>
    </row>
    <row r="61" spans="1:40" x14ac:dyDescent="0.25">
      <c r="A61" s="11">
        <v>742826</v>
      </c>
      <c r="B61" s="10" t="s">
        <v>42</v>
      </c>
      <c r="C61" s="10" t="s">
        <v>43</v>
      </c>
      <c r="D61" s="2" t="s">
        <v>53</v>
      </c>
      <c r="E61" s="6">
        <v>1.119</v>
      </c>
      <c r="F61" s="6">
        <v>0</v>
      </c>
      <c r="G61" s="6">
        <v>0</v>
      </c>
      <c r="H61" s="6">
        <v>0</v>
      </c>
      <c r="I61" s="6">
        <v>0</v>
      </c>
      <c r="J61" s="7">
        <v>0</v>
      </c>
      <c r="K61" s="3"/>
      <c r="L61" s="7">
        <v>6</v>
      </c>
      <c r="M61" s="7">
        <v>0</v>
      </c>
      <c r="N61" s="7">
        <v>2303</v>
      </c>
      <c r="O61" s="7">
        <v>2058</v>
      </c>
      <c r="P61" s="7">
        <f t="shared" si="0"/>
        <v>245</v>
      </c>
      <c r="Q61" s="6">
        <v>0.11899999999999999</v>
      </c>
      <c r="R61" s="7">
        <v>0</v>
      </c>
      <c r="S61" s="7">
        <v>0</v>
      </c>
      <c r="T61" s="3"/>
      <c r="U61" s="3"/>
      <c r="V61" s="3"/>
      <c r="W61" s="7">
        <v>2269</v>
      </c>
      <c r="X61" s="6">
        <v>2E-3</v>
      </c>
      <c r="Y61" s="6">
        <v>0</v>
      </c>
      <c r="Z61" s="6">
        <v>1.417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7">
        <v>0</v>
      </c>
    </row>
    <row r="62" spans="1:40" x14ac:dyDescent="0.25">
      <c r="A62" s="11">
        <v>742826</v>
      </c>
      <c r="B62" s="10" t="s">
        <v>42</v>
      </c>
      <c r="C62" s="10" t="s">
        <v>43</v>
      </c>
      <c r="D62" s="2" t="s">
        <v>54</v>
      </c>
      <c r="E62" s="6">
        <v>1.0329999999999999</v>
      </c>
      <c r="F62" s="6">
        <v>0</v>
      </c>
      <c r="G62" s="6">
        <v>0</v>
      </c>
      <c r="H62" s="6">
        <v>0</v>
      </c>
      <c r="I62" s="6">
        <v>0</v>
      </c>
      <c r="J62" s="7">
        <v>0</v>
      </c>
      <c r="K62" s="3"/>
      <c r="L62" s="7">
        <v>6</v>
      </c>
      <c r="M62" s="7">
        <v>0</v>
      </c>
      <c r="N62" s="7">
        <v>425</v>
      </c>
      <c r="O62" s="7">
        <v>411</v>
      </c>
      <c r="P62" s="7">
        <f t="shared" si="0"/>
        <v>14</v>
      </c>
      <c r="Q62" s="6">
        <v>3.3000000000000002E-2</v>
      </c>
      <c r="R62" s="7">
        <v>0</v>
      </c>
      <c r="S62" s="7">
        <v>0</v>
      </c>
      <c r="T62" s="3"/>
      <c r="U62" s="3"/>
      <c r="V62" s="3"/>
      <c r="W62" s="7">
        <v>415</v>
      </c>
      <c r="X62" s="6">
        <v>-0.21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7">
        <v>0</v>
      </c>
    </row>
    <row r="63" spans="1:40" x14ac:dyDescent="0.25">
      <c r="A63" s="11">
        <v>742826</v>
      </c>
      <c r="B63" s="10" t="s">
        <v>42</v>
      </c>
      <c r="C63" s="10" t="s">
        <v>55</v>
      </c>
      <c r="D63" s="2" t="s">
        <v>44</v>
      </c>
      <c r="E63" s="6">
        <v>1.01</v>
      </c>
      <c r="F63" s="6">
        <v>0</v>
      </c>
      <c r="G63" s="6">
        <v>2.4980000000000002</v>
      </c>
      <c r="H63" s="6">
        <v>0</v>
      </c>
      <c r="I63" s="6">
        <v>0</v>
      </c>
      <c r="J63" s="7">
        <v>8</v>
      </c>
      <c r="K63" s="3"/>
      <c r="L63" s="7">
        <v>9</v>
      </c>
      <c r="M63" s="7">
        <v>8</v>
      </c>
      <c r="N63" s="7">
        <v>601</v>
      </c>
      <c r="O63" s="7">
        <v>171</v>
      </c>
      <c r="P63" s="7">
        <f t="shared" si="0"/>
        <v>430</v>
      </c>
      <c r="Q63" s="6">
        <v>2.508</v>
      </c>
      <c r="R63" s="7">
        <v>428</v>
      </c>
      <c r="S63" s="7">
        <v>0</v>
      </c>
      <c r="T63" s="3"/>
      <c r="U63" s="7">
        <v>53</v>
      </c>
      <c r="V63" s="3"/>
      <c r="W63" s="7">
        <v>372</v>
      </c>
      <c r="X63" s="6">
        <v>1.1830000000000001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7">
        <v>0</v>
      </c>
    </row>
    <row r="64" spans="1:40" x14ac:dyDescent="0.25">
      <c r="A64" s="11">
        <v>742826</v>
      </c>
      <c r="B64" s="10" t="s">
        <v>42</v>
      </c>
      <c r="C64" s="10" t="s">
        <v>55</v>
      </c>
      <c r="D64" s="2" t="s">
        <v>56</v>
      </c>
      <c r="E64" s="6">
        <v>0.51400000000000001</v>
      </c>
      <c r="F64" s="6">
        <v>0.5</v>
      </c>
      <c r="G64" s="6">
        <v>0.218</v>
      </c>
      <c r="H64" s="6">
        <v>0</v>
      </c>
      <c r="I64" s="6">
        <v>0</v>
      </c>
      <c r="J64" s="7">
        <v>1</v>
      </c>
      <c r="K64" s="3"/>
      <c r="L64" s="7">
        <v>2</v>
      </c>
      <c r="M64" s="7">
        <v>0</v>
      </c>
      <c r="N64" s="7">
        <v>909</v>
      </c>
      <c r="O64" s="7">
        <v>1241</v>
      </c>
      <c r="P64" s="7">
        <f t="shared" si="0"/>
        <v>-332</v>
      </c>
      <c r="Q64" s="6">
        <v>-0.26800000000000002</v>
      </c>
      <c r="R64" s="7">
        <v>271</v>
      </c>
      <c r="S64" s="7">
        <v>0</v>
      </c>
      <c r="T64" s="3"/>
      <c r="U64" s="7">
        <v>271</v>
      </c>
      <c r="V64" s="3"/>
      <c r="W64" s="7">
        <v>1063</v>
      </c>
      <c r="X64" s="6">
        <v>-0.16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7">
        <v>0</v>
      </c>
    </row>
    <row r="65" spans="1:40" x14ac:dyDescent="0.25">
      <c r="A65" s="11">
        <v>742826</v>
      </c>
      <c r="B65" s="10" t="s">
        <v>42</v>
      </c>
      <c r="C65" s="10" t="s">
        <v>55</v>
      </c>
      <c r="D65" s="2" t="s">
        <v>57</v>
      </c>
      <c r="E65" s="6">
        <v>1.04</v>
      </c>
      <c r="F65" s="6">
        <v>0</v>
      </c>
      <c r="G65" s="6">
        <v>0</v>
      </c>
      <c r="H65" s="6">
        <v>0</v>
      </c>
      <c r="I65" s="6">
        <v>0</v>
      </c>
      <c r="J65" s="7">
        <v>0</v>
      </c>
      <c r="K65" s="3"/>
      <c r="L65" s="7">
        <v>1</v>
      </c>
      <c r="M65" s="7">
        <v>0</v>
      </c>
      <c r="N65" s="7">
        <v>681</v>
      </c>
      <c r="O65" s="7">
        <v>655</v>
      </c>
      <c r="P65" s="7">
        <f t="shared" si="0"/>
        <v>26</v>
      </c>
      <c r="Q65" s="6">
        <v>0.04</v>
      </c>
      <c r="R65" s="7">
        <v>0</v>
      </c>
      <c r="S65" s="7">
        <v>0</v>
      </c>
      <c r="T65" s="3"/>
      <c r="U65" s="3"/>
      <c r="V65" s="3"/>
      <c r="W65" s="7">
        <v>681</v>
      </c>
      <c r="X65" s="6">
        <v>0.04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7">
        <v>0</v>
      </c>
    </row>
    <row r="66" spans="1:40" x14ac:dyDescent="0.25">
      <c r="A66" s="11">
        <v>742826</v>
      </c>
      <c r="B66" s="10" t="s">
        <v>42</v>
      </c>
      <c r="C66" s="10" t="s">
        <v>55</v>
      </c>
      <c r="D66" s="2" t="s">
        <v>52</v>
      </c>
      <c r="E66" s="6">
        <v>1.0229999999999999</v>
      </c>
      <c r="F66" s="6">
        <v>0</v>
      </c>
      <c r="G66" s="6">
        <v>0.39500000000000002</v>
      </c>
      <c r="H66" s="6">
        <v>0</v>
      </c>
      <c r="I66" s="6">
        <v>0</v>
      </c>
      <c r="J66" s="7">
        <v>1</v>
      </c>
      <c r="K66" s="3"/>
      <c r="L66" s="7">
        <v>3</v>
      </c>
      <c r="M66" s="7">
        <v>1</v>
      </c>
      <c r="N66" s="7">
        <v>1796</v>
      </c>
      <c r="O66" s="7">
        <v>1266</v>
      </c>
      <c r="P66" s="7">
        <f t="shared" si="0"/>
        <v>530</v>
      </c>
      <c r="Q66" s="6">
        <v>0.41799999999999998</v>
      </c>
      <c r="R66" s="7">
        <v>500</v>
      </c>
      <c r="S66" s="7">
        <v>0</v>
      </c>
      <c r="T66" s="3"/>
      <c r="U66" s="7">
        <v>500</v>
      </c>
      <c r="V66" s="3"/>
      <c r="W66" s="7">
        <v>1396</v>
      </c>
      <c r="X66" s="6">
        <v>9.6000000000000002E-2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7">
        <v>0</v>
      </c>
    </row>
    <row r="67" spans="1:40" ht="22.5" x14ac:dyDescent="0.25">
      <c r="A67" s="11">
        <v>742826</v>
      </c>
      <c r="B67" s="10" t="s">
        <v>42</v>
      </c>
      <c r="C67" s="10" t="s">
        <v>55</v>
      </c>
      <c r="D67" s="2" t="s">
        <v>60</v>
      </c>
      <c r="E67" s="6">
        <v>1.02</v>
      </c>
      <c r="F67" s="6">
        <v>0</v>
      </c>
      <c r="G67" s="6">
        <v>0</v>
      </c>
      <c r="H67" s="6">
        <v>0</v>
      </c>
      <c r="I67" s="6">
        <v>0</v>
      </c>
      <c r="J67" s="7">
        <v>0</v>
      </c>
      <c r="K67" s="3"/>
      <c r="L67" s="7">
        <v>2</v>
      </c>
      <c r="M67" s="7">
        <v>0</v>
      </c>
      <c r="N67" s="7">
        <v>391</v>
      </c>
      <c r="O67" s="7">
        <v>383</v>
      </c>
      <c r="P67" s="7">
        <f t="shared" si="0"/>
        <v>8</v>
      </c>
      <c r="Q67" s="6">
        <v>0.02</v>
      </c>
      <c r="R67" s="7">
        <v>0</v>
      </c>
      <c r="S67" s="7">
        <v>0</v>
      </c>
      <c r="T67" s="3"/>
      <c r="U67" s="3"/>
      <c r="V67" s="3"/>
      <c r="W67" s="7">
        <v>385</v>
      </c>
      <c r="X67" s="6">
        <v>0.02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7">
        <v>0</v>
      </c>
    </row>
    <row r="68" spans="1:40" x14ac:dyDescent="0.25">
      <c r="A68" s="11">
        <v>742826</v>
      </c>
      <c r="B68" s="10" t="s">
        <v>42</v>
      </c>
      <c r="C68" s="2" t="s">
        <v>61</v>
      </c>
      <c r="D68" s="2" t="s">
        <v>61</v>
      </c>
      <c r="E68" s="3"/>
      <c r="F68" s="3"/>
      <c r="G68" s="3"/>
      <c r="H68" s="3"/>
      <c r="I68" s="6">
        <v>0</v>
      </c>
      <c r="J68" s="7">
        <v>0</v>
      </c>
      <c r="K68" s="3"/>
      <c r="L68" s="7">
        <v>0</v>
      </c>
      <c r="M68" s="7">
        <v>0</v>
      </c>
      <c r="N68" s="7">
        <v>0</v>
      </c>
      <c r="O68" s="7">
        <v>0</v>
      </c>
      <c r="P68" s="7">
        <f t="shared" si="0"/>
        <v>0</v>
      </c>
      <c r="Q68" s="3"/>
      <c r="R68" s="7">
        <v>0</v>
      </c>
      <c r="S68" s="7">
        <v>0</v>
      </c>
      <c r="T68" s="3"/>
      <c r="U68" s="3"/>
      <c r="V68" s="3"/>
      <c r="W68" s="7">
        <v>0</v>
      </c>
      <c r="X68" s="3"/>
      <c r="Y68" s="3"/>
      <c r="Z68" s="3"/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3"/>
      <c r="AN68" s="7">
        <v>0</v>
      </c>
    </row>
    <row r="69" spans="1:40" x14ac:dyDescent="0.25">
      <c r="A69" s="11">
        <v>742826</v>
      </c>
      <c r="B69" s="4" t="s">
        <v>63</v>
      </c>
      <c r="C69" s="4"/>
      <c r="D69" s="4"/>
      <c r="E69" s="8">
        <v>0.86899999999999999</v>
      </c>
      <c r="F69" s="8">
        <v>0.13600000000000001</v>
      </c>
      <c r="G69" s="8">
        <v>0.14699999999999999</v>
      </c>
      <c r="H69" s="8">
        <v>0</v>
      </c>
      <c r="I69" s="8">
        <v>0</v>
      </c>
      <c r="J69" s="9">
        <v>77</v>
      </c>
      <c r="K69" s="8">
        <v>-2.5000000000000001E-2</v>
      </c>
      <c r="L69" s="9">
        <v>504</v>
      </c>
      <c r="M69" s="9">
        <v>10</v>
      </c>
      <c r="N69" s="9">
        <v>123100</v>
      </c>
      <c r="O69" s="9">
        <v>121131</v>
      </c>
      <c r="P69" s="7">
        <f t="shared" si="0"/>
        <v>1969</v>
      </c>
      <c r="Q69" s="8">
        <v>1.6E-2</v>
      </c>
      <c r="R69" s="9">
        <v>17832</v>
      </c>
      <c r="S69" s="9">
        <v>21214</v>
      </c>
      <c r="T69" s="8">
        <v>-0.159</v>
      </c>
      <c r="U69" s="9">
        <v>232</v>
      </c>
      <c r="V69" s="8">
        <v>-0.127</v>
      </c>
      <c r="W69" s="9">
        <v>122324</v>
      </c>
      <c r="X69" s="8">
        <v>8.0000000000000002E-3</v>
      </c>
      <c r="Y69" s="8">
        <v>2.5000000000000001E-2</v>
      </c>
      <c r="Z69" s="8">
        <v>0.69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9">
        <v>0</v>
      </c>
    </row>
    <row r="70" spans="1:40" x14ac:dyDescent="0.25">
      <c r="A70" s="11">
        <v>742827</v>
      </c>
      <c r="B70" s="10" t="s">
        <v>42</v>
      </c>
      <c r="C70" s="10" t="s">
        <v>43</v>
      </c>
      <c r="D70" s="2" t="s">
        <v>44</v>
      </c>
      <c r="E70" s="6">
        <v>1.0509999999999999</v>
      </c>
      <c r="F70" s="6">
        <v>0</v>
      </c>
      <c r="G70" s="6">
        <v>0.40400000000000003</v>
      </c>
      <c r="H70" s="6">
        <v>0</v>
      </c>
      <c r="I70" s="6">
        <v>0</v>
      </c>
      <c r="J70" s="7">
        <v>1</v>
      </c>
      <c r="K70" s="3"/>
      <c r="L70" s="7">
        <v>2</v>
      </c>
      <c r="M70" s="7">
        <v>1</v>
      </c>
      <c r="N70" s="7">
        <v>240</v>
      </c>
      <c r="O70" s="7">
        <v>165</v>
      </c>
      <c r="P70" s="7">
        <f t="shared" si="0"/>
        <v>75</v>
      </c>
      <c r="Q70" s="6">
        <v>0.45600000000000002</v>
      </c>
      <c r="R70" s="7">
        <v>67</v>
      </c>
      <c r="S70" s="7">
        <v>0</v>
      </c>
      <c r="T70" s="3"/>
      <c r="U70" s="7">
        <v>67</v>
      </c>
      <c r="V70" s="3"/>
      <c r="W70" s="7">
        <v>218</v>
      </c>
      <c r="X70" s="6">
        <v>0.36799999999999999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7">
        <v>0</v>
      </c>
    </row>
    <row r="71" spans="1:40" x14ac:dyDescent="0.25">
      <c r="A71" s="11">
        <v>742827</v>
      </c>
      <c r="B71" s="10" t="s">
        <v>42</v>
      </c>
      <c r="C71" s="10" t="s">
        <v>43</v>
      </c>
      <c r="D71" s="2" t="s">
        <v>45</v>
      </c>
      <c r="E71" s="6">
        <v>0</v>
      </c>
      <c r="F71" s="3"/>
      <c r="G71" s="6">
        <v>4.9960000000000004</v>
      </c>
      <c r="H71" s="6">
        <v>0</v>
      </c>
      <c r="I71" s="6">
        <v>0</v>
      </c>
      <c r="J71" s="7">
        <v>1</v>
      </c>
      <c r="K71" s="6">
        <v>0</v>
      </c>
      <c r="L71" s="7">
        <v>0</v>
      </c>
      <c r="M71" s="7">
        <v>0</v>
      </c>
      <c r="N71" s="7">
        <v>67</v>
      </c>
      <c r="O71" s="7">
        <v>13</v>
      </c>
      <c r="P71" s="7">
        <f t="shared" si="0"/>
        <v>54</v>
      </c>
      <c r="Q71" s="6">
        <v>3.996</v>
      </c>
      <c r="R71" s="7">
        <v>67</v>
      </c>
      <c r="S71" s="7">
        <v>13</v>
      </c>
      <c r="T71" s="6">
        <v>3.996</v>
      </c>
      <c r="U71" s="7">
        <v>1639</v>
      </c>
      <c r="V71" s="6">
        <v>-1E-3</v>
      </c>
      <c r="W71" s="7">
        <v>67</v>
      </c>
      <c r="X71" s="6">
        <v>3.996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7">
        <v>0</v>
      </c>
    </row>
    <row r="72" spans="1:40" x14ac:dyDescent="0.25">
      <c r="A72" s="11">
        <v>742827</v>
      </c>
      <c r="B72" s="10" t="s">
        <v>42</v>
      </c>
      <c r="C72" s="10" t="s">
        <v>43</v>
      </c>
      <c r="D72" s="2" t="s">
        <v>46</v>
      </c>
      <c r="E72" s="6">
        <v>0.80200000000000005</v>
      </c>
      <c r="F72" s="6">
        <v>0.19500000000000001</v>
      </c>
      <c r="G72" s="6">
        <v>0.114</v>
      </c>
      <c r="H72" s="6">
        <v>0</v>
      </c>
      <c r="I72" s="6">
        <v>0</v>
      </c>
      <c r="J72" s="7">
        <v>25</v>
      </c>
      <c r="K72" s="6">
        <v>-0.19400000000000001</v>
      </c>
      <c r="L72" s="7">
        <v>198</v>
      </c>
      <c r="M72" s="7">
        <v>-17</v>
      </c>
      <c r="N72" s="7">
        <v>52434</v>
      </c>
      <c r="O72" s="7">
        <v>57204</v>
      </c>
      <c r="P72" s="7">
        <f t="shared" ref="P72:P103" si="1">N72-O72</f>
        <v>-4770</v>
      </c>
      <c r="Q72" s="6">
        <v>-8.3000000000000004E-2</v>
      </c>
      <c r="R72" s="7">
        <v>6545</v>
      </c>
      <c r="S72" s="7">
        <v>7282</v>
      </c>
      <c r="T72" s="6">
        <v>-0.10100000000000001</v>
      </c>
      <c r="U72" s="7">
        <v>295</v>
      </c>
      <c r="V72" s="6">
        <v>0.13800000000000001</v>
      </c>
      <c r="W72" s="7">
        <v>55663</v>
      </c>
      <c r="X72" s="6">
        <v>-9.8000000000000004E-2</v>
      </c>
      <c r="Y72" s="6">
        <v>2.8000000000000001E-2</v>
      </c>
      <c r="Z72" s="6">
        <v>0.29699999999999999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7">
        <v>0</v>
      </c>
    </row>
    <row r="73" spans="1:40" ht="22.5" x14ac:dyDescent="0.25">
      <c r="A73" s="11">
        <v>742827</v>
      </c>
      <c r="B73" s="10" t="s">
        <v>42</v>
      </c>
      <c r="C73" s="10" t="s">
        <v>43</v>
      </c>
      <c r="D73" s="2" t="s">
        <v>47</v>
      </c>
      <c r="E73" s="6">
        <v>1.02</v>
      </c>
      <c r="F73" s="6">
        <v>0</v>
      </c>
      <c r="G73" s="6">
        <v>0</v>
      </c>
      <c r="H73" s="6">
        <v>0</v>
      </c>
      <c r="I73" s="6">
        <v>0</v>
      </c>
      <c r="J73" s="7">
        <v>0</v>
      </c>
      <c r="K73" s="3"/>
      <c r="L73" s="7">
        <v>1</v>
      </c>
      <c r="M73" s="7">
        <v>0</v>
      </c>
      <c r="N73" s="7">
        <v>192</v>
      </c>
      <c r="O73" s="7">
        <v>188</v>
      </c>
      <c r="P73" s="7">
        <f t="shared" si="1"/>
        <v>4</v>
      </c>
      <c r="Q73" s="6">
        <v>0.02</v>
      </c>
      <c r="R73" s="7">
        <v>0</v>
      </c>
      <c r="S73" s="7">
        <v>0</v>
      </c>
      <c r="T73" s="3"/>
      <c r="U73" s="3"/>
      <c r="V73" s="3"/>
      <c r="W73" s="7">
        <v>188</v>
      </c>
      <c r="X73" s="6">
        <v>0.02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7">
        <v>0</v>
      </c>
    </row>
    <row r="74" spans="1:40" x14ac:dyDescent="0.25">
      <c r="A74" s="11">
        <v>742827</v>
      </c>
      <c r="B74" s="10" t="s">
        <v>42</v>
      </c>
      <c r="C74" s="10" t="s">
        <v>43</v>
      </c>
      <c r="D74" s="2" t="s">
        <v>48</v>
      </c>
      <c r="E74" s="3"/>
      <c r="F74" s="3"/>
      <c r="G74" s="3"/>
      <c r="H74" s="3"/>
      <c r="I74" s="6">
        <v>0</v>
      </c>
      <c r="J74" s="7">
        <v>0</v>
      </c>
      <c r="K74" s="3"/>
      <c r="L74" s="7">
        <v>0</v>
      </c>
      <c r="M74" s="7">
        <v>0</v>
      </c>
      <c r="N74" s="7">
        <v>0</v>
      </c>
      <c r="O74" s="7">
        <v>0</v>
      </c>
      <c r="P74" s="7">
        <f t="shared" si="1"/>
        <v>0</v>
      </c>
      <c r="Q74" s="3"/>
      <c r="R74" s="7">
        <v>0</v>
      </c>
      <c r="S74" s="7">
        <v>0</v>
      </c>
      <c r="T74" s="3"/>
      <c r="U74" s="3"/>
      <c r="V74" s="3"/>
      <c r="W74" s="7">
        <v>0</v>
      </c>
      <c r="X74" s="3"/>
      <c r="Y74" s="3"/>
      <c r="Z74" s="3"/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3"/>
      <c r="AN74" s="7">
        <v>0</v>
      </c>
    </row>
    <row r="75" spans="1:40" x14ac:dyDescent="0.25">
      <c r="A75" s="11">
        <v>742827</v>
      </c>
      <c r="B75" s="10" t="s">
        <v>42</v>
      </c>
      <c r="C75" s="10" t="s">
        <v>43</v>
      </c>
      <c r="D75" s="2" t="s">
        <v>49</v>
      </c>
      <c r="E75" s="3"/>
      <c r="F75" s="3"/>
      <c r="G75" s="3"/>
      <c r="H75" s="3"/>
      <c r="I75" s="6">
        <v>0</v>
      </c>
      <c r="J75" s="7">
        <v>0</v>
      </c>
      <c r="K75" s="3"/>
      <c r="L75" s="7">
        <v>0</v>
      </c>
      <c r="M75" s="7">
        <v>0</v>
      </c>
      <c r="N75" s="7">
        <v>0</v>
      </c>
      <c r="O75" s="7">
        <v>0</v>
      </c>
      <c r="P75" s="7">
        <f t="shared" si="1"/>
        <v>0</v>
      </c>
      <c r="Q75" s="3"/>
      <c r="R75" s="7">
        <v>0</v>
      </c>
      <c r="S75" s="7">
        <v>0</v>
      </c>
      <c r="T75" s="3"/>
      <c r="U75" s="3"/>
      <c r="V75" s="3"/>
      <c r="W75" s="7">
        <v>0</v>
      </c>
      <c r="X75" s="3"/>
      <c r="Y75" s="3"/>
      <c r="Z75" s="3"/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3"/>
      <c r="AN75" s="7">
        <v>0</v>
      </c>
    </row>
    <row r="76" spans="1:40" x14ac:dyDescent="0.25">
      <c r="A76" s="11">
        <v>742827</v>
      </c>
      <c r="B76" s="10" t="s">
        <v>42</v>
      </c>
      <c r="C76" s="10" t="s">
        <v>43</v>
      </c>
      <c r="D76" s="2" t="s">
        <v>50</v>
      </c>
      <c r="E76" s="6">
        <v>0.98899999999999999</v>
      </c>
      <c r="F76" s="6">
        <v>0.13300000000000001</v>
      </c>
      <c r="G76" s="6">
        <v>6.7000000000000004E-2</v>
      </c>
      <c r="H76" s="6">
        <v>0</v>
      </c>
      <c r="I76" s="6">
        <v>0</v>
      </c>
      <c r="J76" s="7">
        <v>1</v>
      </c>
      <c r="K76" s="6">
        <v>-0.5</v>
      </c>
      <c r="L76" s="7">
        <v>14</v>
      </c>
      <c r="M76" s="7">
        <v>-1</v>
      </c>
      <c r="N76" s="7">
        <v>3556</v>
      </c>
      <c r="O76" s="7">
        <v>3370</v>
      </c>
      <c r="P76" s="7">
        <f t="shared" si="1"/>
        <v>186</v>
      </c>
      <c r="Q76" s="6">
        <v>5.5E-2</v>
      </c>
      <c r="R76" s="7">
        <v>225</v>
      </c>
      <c r="S76" s="7">
        <v>230</v>
      </c>
      <c r="T76" s="6">
        <v>-2.1999999999999999E-2</v>
      </c>
      <c r="U76" s="7">
        <v>225</v>
      </c>
      <c r="V76" s="6">
        <v>0.95699999999999996</v>
      </c>
      <c r="W76" s="7">
        <v>3489</v>
      </c>
      <c r="X76" s="6">
        <v>0.112</v>
      </c>
      <c r="Y76" s="6">
        <v>3.5000000000000003E-2</v>
      </c>
      <c r="Z76" s="6">
        <v>0.47699999999999998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7">
        <v>0</v>
      </c>
    </row>
    <row r="77" spans="1:40" x14ac:dyDescent="0.25">
      <c r="A77" s="11">
        <v>742827</v>
      </c>
      <c r="B77" s="10" t="s">
        <v>42</v>
      </c>
      <c r="C77" s="10" t="s">
        <v>43</v>
      </c>
      <c r="D77" s="2" t="s">
        <v>52</v>
      </c>
      <c r="E77" s="6">
        <v>0.86599999999999999</v>
      </c>
      <c r="F77" s="6">
        <v>0.154</v>
      </c>
      <c r="G77" s="6">
        <v>4.7E-2</v>
      </c>
      <c r="H77" s="6">
        <v>0</v>
      </c>
      <c r="I77" s="6">
        <v>0</v>
      </c>
      <c r="J77" s="7">
        <v>1</v>
      </c>
      <c r="K77" s="6">
        <v>-0.75</v>
      </c>
      <c r="L77" s="7">
        <v>12</v>
      </c>
      <c r="M77" s="7">
        <v>-1</v>
      </c>
      <c r="N77" s="7">
        <v>491</v>
      </c>
      <c r="O77" s="7">
        <v>538</v>
      </c>
      <c r="P77" s="7">
        <f t="shared" si="1"/>
        <v>-47</v>
      </c>
      <c r="Q77" s="6">
        <v>-8.6999999999999994E-2</v>
      </c>
      <c r="R77" s="7">
        <v>25</v>
      </c>
      <c r="S77" s="7">
        <v>108</v>
      </c>
      <c r="T77" s="6">
        <v>-0.76700000000000002</v>
      </c>
      <c r="U77" s="7">
        <v>25</v>
      </c>
      <c r="V77" s="6">
        <v>-6.8000000000000005E-2</v>
      </c>
      <c r="W77" s="7">
        <v>523</v>
      </c>
      <c r="X77" s="6">
        <v>0.06</v>
      </c>
      <c r="Y77" s="6">
        <v>5.0999999999999997E-2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7">
        <v>0</v>
      </c>
    </row>
    <row r="78" spans="1:40" x14ac:dyDescent="0.25">
      <c r="A78" s="11">
        <v>742827</v>
      </c>
      <c r="B78" s="10" t="s">
        <v>42</v>
      </c>
      <c r="C78" s="10" t="s">
        <v>43</v>
      </c>
      <c r="D78" s="2" t="s">
        <v>53</v>
      </c>
      <c r="E78" s="6">
        <v>0.39700000000000002</v>
      </c>
      <c r="F78" s="6">
        <v>0.5</v>
      </c>
      <c r="G78" s="6">
        <v>0.57299999999999995</v>
      </c>
      <c r="H78" s="6">
        <v>0</v>
      </c>
      <c r="I78" s="6">
        <v>0</v>
      </c>
      <c r="J78" s="7">
        <v>1</v>
      </c>
      <c r="K78" s="3"/>
      <c r="L78" s="7">
        <v>2</v>
      </c>
      <c r="M78" s="7">
        <v>0</v>
      </c>
      <c r="N78" s="7">
        <v>267</v>
      </c>
      <c r="O78" s="7">
        <v>275</v>
      </c>
      <c r="P78" s="7">
        <f t="shared" si="1"/>
        <v>-8</v>
      </c>
      <c r="Q78" s="6">
        <v>-0.03</v>
      </c>
      <c r="R78" s="7">
        <v>157</v>
      </c>
      <c r="S78" s="7">
        <v>0</v>
      </c>
      <c r="T78" s="3"/>
      <c r="U78" s="7">
        <v>157</v>
      </c>
      <c r="V78" s="3"/>
      <c r="W78" s="7">
        <v>370</v>
      </c>
      <c r="X78" s="6">
        <v>0.35799999999999998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7">
        <v>0</v>
      </c>
    </row>
    <row r="79" spans="1:40" x14ac:dyDescent="0.25">
      <c r="A79" s="11">
        <v>742827</v>
      </c>
      <c r="B79" s="10" t="s">
        <v>42</v>
      </c>
      <c r="C79" s="10" t="s">
        <v>43</v>
      </c>
      <c r="D79" s="2" t="s">
        <v>54</v>
      </c>
      <c r="E79" s="6">
        <v>1.0109999999999999</v>
      </c>
      <c r="F79" s="6">
        <v>0</v>
      </c>
      <c r="G79" s="6">
        <v>0</v>
      </c>
      <c r="H79" s="6">
        <v>0</v>
      </c>
      <c r="I79" s="6">
        <v>0</v>
      </c>
      <c r="J79" s="7">
        <v>0</v>
      </c>
      <c r="K79" s="3"/>
      <c r="L79" s="7">
        <v>3</v>
      </c>
      <c r="M79" s="7">
        <v>0</v>
      </c>
      <c r="N79" s="7">
        <v>178</v>
      </c>
      <c r="O79" s="7">
        <v>176</v>
      </c>
      <c r="P79" s="7">
        <f t="shared" si="1"/>
        <v>2</v>
      </c>
      <c r="Q79" s="6">
        <v>1.0999999999999999E-2</v>
      </c>
      <c r="R79" s="7">
        <v>0</v>
      </c>
      <c r="S79" s="7">
        <v>0</v>
      </c>
      <c r="T79" s="3"/>
      <c r="U79" s="3"/>
      <c r="V79" s="3"/>
      <c r="W79" s="7">
        <v>176</v>
      </c>
      <c r="X79" s="6">
        <v>3.3000000000000002E-2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7">
        <v>0</v>
      </c>
    </row>
    <row r="80" spans="1:40" x14ac:dyDescent="0.25">
      <c r="A80" s="11">
        <v>742827</v>
      </c>
      <c r="B80" s="10" t="s">
        <v>42</v>
      </c>
      <c r="C80" s="10" t="s">
        <v>55</v>
      </c>
      <c r="D80" s="2" t="s">
        <v>44</v>
      </c>
      <c r="E80" s="6">
        <v>1.0069999999999999</v>
      </c>
      <c r="F80" s="6">
        <v>0</v>
      </c>
      <c r="G80" s="6">
        <v>0</v>
      </c>
      <c r="H80" s="6">
        <v>0</v>
      </c>
      <c r="I80" s="6">
        <v>0</v>
      </c>
      <c r="J80" s="7">
        <v>0</v>
      </c>
      <c r="K80" s="3"/>
      <c r="L80" s="7">
        <v>2</v>
      </c>
      <c r="M80" s="7">
        <v>0</v>
      </c>
      <c r="N80" s="7">
        <v>171</v>
      </c>
      <c r="O80" s="7">
        <v>170</v>
      </c>
      <c r="P80" s="7">
        <f t="shared" si="1"/>
        <v>1</v>
      </c>
      <c r="Q80" s="6">
        <v>7.0000000000000001E-3</v>
      </c>
      <c r="R80" s="7">
        <v>0</v>
      </c>
      <c r="S80" s="7">
        <v>0</v>
      </c>
      <c r="T80" s="3"/>
      <c r="U80" s="3"/>
      <c r="V80" s="3"/>
      <c r="W80" s="7">
        <v>171</v>
      </c>
      <c r="X80" s="6">
        <v>1.2E-2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7">
        <v>0</v>
      </c>
    </row>
    <row r="81" spans="1:40" x14ac:dyDescent="0.25">
      <c r="A81" s="11">
        <v>742827</v>
      </c>
      <c r="B81" s="10" t="s">
        <v>42</v>
      </c>
      <c r="C81" s="10" t="s">
        <v>55</v>
      </c>
      <c r="D81" s="2" t="s">
        <v>56</v>
      </c>
      <c r="E81" s="6">
        <v>1.01</v>
      </c>
      <c r="F81" s="6">
        <v>0</v>
      </c>
      <c r="G81" s="6">
        <v>0</v>
      </c>
      <c r="H81" s="6">
        <v>0</v>
      </c>
      <c r="I81" s="6">
        <v>0</v>
      </c>
      <c r="J81" s="7">
        <v>0</v>
      </c>
      <c r="K81" s="3"/>
      <c r="L81" s="7">
        <v>1</v>
      </c>
      <c r="M81" s="7">
        <v>0</v>
      </c>
      <c r="N81" s="7">
        <v>283</v>
      </c>
      <c r="O81" s="7">
        <v>280</v>
      </c>
      <c r="P81" s="7">
        <f t="shared" si="1"/>
        <v>3</v>
      </c>
      <c r="Q81" s="6">
        <v>0.01</v>
      </c>
      <c r="R81" s="7">
        <v>0</v>
      </c>
      <c r="S81" s="7">
        <v>0</v>
      </c>
      <c r="T81" s="3"/>
      <c r="U81" s="3"/>
      <c r="V81" s="3"/>
      <c r="W81" s="7">
        <v>281</v>
      </c>
      <c r="X81" s="6">
        <v>6.0000000000000001E-3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7">
        <v>0</v>
      </c>
    </row>
    <row r="82" spans="1:40" x14ac:dyDescent="0.25">
      <c r="A82" s="11">
        <v>742827</v>
      </c>
      <c r="B82" s="10" t="s">
        <v>42</v>
      </c>
      <c r="C82" s="10" t="s">
        <v>55</v>
      </c>
      <c r="D82" s="2" t="s">
        <v>57</v>
      </c>
      <c r="E82" s="6">
        <v>1.0449999999999999</v>
      </c>
      <c r="F82" s="6">
        <v>0</v>
      </c>
      <c r="G82" s="6">
        <v>0</v>
      </c>
      <c r="H82" s="6">
        <v>0</v>
      </c>
      <c r="I82" s="6">
        <v>0</v>
      </c>
      <c r="J82" s="7">
        <v>0</v>
      </c>
      <c r="K82" s="6">
        <v>-1</v>
      </c>
      <c r="L82" s="7">
        <v>4</v>
      </c>
      <c r="M82" s="7">
        <v>0</v>
      </c>
      <c r="N82" s="7">
        <v>3414</v>
      </c>
      <c r="O82" s="7">
        <v>3268</v>
      </c>
      <c r="P82" s="7">
        <f t="shared" si="1"/>
        <v>146</v>
      </c>
      <c r="Q82" s="6">
        <v>4.4999999999999998E-2</v>
      </c>
      <c r="R82" s="7">
        <v>0</v>
      </c>
      <c r="S82" s="7">
        <v>1020</v>
      </c>
      <c r="T82" s="6">
        <v>-1</v>
      </c>
      <c r="U82" s="3"/>
      <c r="V82" s="3"/>
      <c r="W82" s="7">
        <v>3344</v>
      </c>
      <c r="X82" s="6">
        <v>-4.7E-2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7">
        <v>0</v>
      </c>
    </row>
    <row r="83" spans="1:40" x14ac:dyDescent="0.25">
      <c r="A83" s="11">
        <v>742827</v>
      </c>
      <c r="B83" s="10" t="s">
        <v>42</v>
      </c>
      <c r="C83" s="10" t="s">
        <v>55</v>
      </c>
      <c r="D83" s="2" t="s">
        <v>58</v>
      </c>
      <c r="E83" s="6">
        <v>1.0049999999999999</v>
      </c>
      <c r="F83" s="6">
        <v>0</v>
      </c>
      <c r="G83" s="6">
        <v>0</v>
      </c>
      <c r="H83" s="6">
        <v>0</v>
      </c>
      <c r="I83" s="6">
        <v>0</v>
      </c>
      <c r="J83" s="7">
        <v>0</v>
      </c>
      <c r="K83" s="3"/>
      <c r="L83" s="7">
        <v>1</v>
      </c>
      <c r="M83" s="7">
        <v>0</v>
      </c>
      <c r="N83" s="7">
        <v>1058</v>
      </c>
      <c r="O83" s="7">
        <v>1053</v>
      </c>
      <c r="P83" s="7">
        <f t="shared" si="1"/>
        <v>5</v>
      </c>
      <c r="Q83" s="6">
        <v>5.0000000000000001E-3</v>
      </c>
      <c r="R83" s="7">
        <v>0</v>
      </c>
      <c r="S83" s="7">
        <v>0</v>
      </c>
      <c r="T83" s="3"/>
      <c r="U83" s="3"/>
      <c r="V83" s="3"/>
      <c r="W83" s="7">
        <v>1057</v>
      </c>
      <c r="X83" s="6">
        <v>3.0000000000000001E-3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7">
        <v>0</v>
      </c>
    </row>
    <row r="84" spans="1:40" x14ac:dyDescent="0.25">
      <c r="A84" s="11">
        <v>742827</v>
      </c>
      <c r="B84" s="10" t="s">
        <v>42</v>
      </c>
      <c r="C84" s="10" t="s">
        <v>55</v>
      </c>
      <c r="D84" s="2" t="s">
        <v>59</v>
      </c>
      <c r="E84" s="6">
        <v>1.0049999999999999</v>
      </c>
      <c r="F84" s="6">
        <v>0</v>
      </c>
      <c r="G84" s="6">
        <v>0</v>
      </c>
      <c r="H84" s="6">
        <v>0</v>
      </c>
      <c r="I84" s="6">
        <v>0</v>
      </c>
      <c r="J84" s="7">
        <v>0</v>
      </c>
      <c r="K84" s="3"/>
      <c r="L84" s="7">
        <v>1</v>
      </c>
      <c r="M84" s="7">
        <v>0</v>
      </c>
      <c r="N84" s="7">
        <v>138</v>
      </c>
      <c r="O84" s="7">
        <v>137</v>
      </c>
      <c r="P84" s="7">
        <f t="shared" si="1"/>
        <v>1</v>
      </c>
      <c r="Q84" s="6">
        <v>5.0000000000000001E-3</v>
      </c>
      <c r="R84" s="7">
        <v>0</v>
      </c>
      <c r="S84" s="7">
        <v>0</v>
      </c>
      <c r="T84" s="3"/>
      <c r="U84" s="3"/>
      <c r="V84" s="3"/>
      <c r="W84" s="7">
        <v>137</v>
      </c>
      <c r="X84" s="6">
        <v>-0.47499999999999998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7">
        <v>0</v>
      </c>
    </row>
    <row r="85" spans="1:40" x14ac:dyDescent="0.25">
      <c r="A85" s="11">
        <v>742827</v>
      </c>
      <c r="B85" s="10" t="s">
        <v>42</v>
      </c>
      <c r="C85" s="10" t="s">
        <v>55</v>
      </c>
      <c r="D85" s="2" t="s">
        <v>52</v>
      </c>
      <c r="E85" s="6">
        <v>1.0349999999999999</v>
      </c>
      <c r="F85" s="6">
        <v>0</v>
      </c>
      <c r="G85" s="6">
        <v>0</v>
      </c>
      <c r="H85" s="6">
        <v>0</v>
      </c>
      <c r="I85" s="6">
        <v>0</v>
      </c>
      <c r="J85" s="7">
        <v>0</v>
      </c>
      <c r="K85" s="6">
        <v>-1</v>
      </c>
      <c r="L85" s="7">
        <v>7</v>
      </c>
      <c r="M85" s="7">
        <v>0</v>
      </c>
      <c r="N85" s="7">
        <v>3757</v>
      </c>
      <c r="O85" s="7">
        <v>3629</v>
      </c>
      <c r="P85" s="7">
        <f t="shared" si="1"/>
        <v>128</v>
      </c>
      <c r="Q85" s="6">
        <v>3.5000000000000003E-2</v>
      </c>
      <c r="R85" s="7">
        <v>0</v>
      </c>
      <c r="S85" s="7">
        <v>912</v>
      </c>
      <c r="T85" s="6">
        <v>-1</v>
      </c>
      <c r="U85" s="3"/>
      <c r="V85" s="3"/>
      <c r="W85" s="7">
        <v>3697</v>
      </c>
      <c r="X85" s="6">
        <v>6.2E-2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7">
        <v>0</v>
      </c>
    </row>
    <row r="86" spans="1:40" x14ac:dyDescent="0.25">
      <c r="A86" s="11">
        <v>742827</v>
      </c>
      <c r="B86" s="4" t="s">
        <v>63</v>
      </c>
      <c r="C86" s="4"/>
      <c r="D86" s="4"/>
      <c r="E86" s="8">
        <v>0.84</v>
      </c>
      <c r="F86" s="8">
        <v>0.18</v>
      </c>
      <c r="G86" s="8">
        <v>0.10100000000000001</v>
      </c>
      <c r="H86" s="8">
        <v>0</v>
      </c>
      <c r="I86" s="8">
        <v>0</v>
      </c>
      <c r="J86" s="9">
        <v>30</v>
      </c>
      <c r="K86" s="8">
        <v>-0.26800000000000002</v>
      </c>
      <c r="L86" s="9">
        <v>248</v>
      </c>
      <c r="M86" s="9">
        <v>-18</v>
      </c>
      <c r="N86" s="9">
        <v>66244</v>
      </c>
      <c r="O86" s="9">
        <v>70465</v>
      </c>
      <c r="P86" s="7">
        <f t="shared" si="1"/>
        <v>-4221</v>
      </c>
      <c r="Q86" s="8">
        <v>-0.06</v>
      </c>
      <c r="R86" s="9">
        <v>7087</v>
      </c>
      <c r="S86" s="9">
        <v>9565</v>
      </c>
      <c r="T86" s="8">
        <v>-0.25900000000000001</v>
      </c>
      <c r="U86" s="9">
        <v>271</v>
      </c>
      <c r="V86" s="8">
        <v>4.8000000000000001E-2</v>
      </c>
      <c r="W86" s="9">
        <v>69382</v>
      </c>
      <c r="X86" s="8">
        <v>-7.2999999999999995E-2</v>
      </c>
      <c r="Y86" s="8">
        <v>2.4E-2</v>
      </c>
      <c r="Z86" s="8">
        <v>0.26200000000000001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9">
        <v>0</v>
      </c>
    </row>
    <row r="87" spans="1:40" ht="22.5" x14ac:dyDescent="0.25">
      <c r="A87" s="11">
        <v>745564</v>
      </c>
      <c r="B87" s="10" t="s">
        <v>42</v>
      </c>
      <c r="C87" s="2" t="s">
        <v>43</v>
      </c>
      <c r="D87" s="2" t="s">
        <v>46</v>
      </c>
      <c r="E87" s="3"/>
      <c r="F87" s="3"/>
      <c r="G87" s="3"/>
      <c r="H87" s="3"/>
      <c r="I87" s="6">
        <v>0</v>
      </c>
      <c r="J87" s="7">
        <v>2</v>
      </c>
      <c r="K87" s="3"/>
      <c r="L87" s="7">
        <v>2</v>
      </c>
      <c r="M87" s="7">
        <v>2</v>
      </c>
      <c r="N87" s="7">
        <v>457</v>
      </c>
      <c r="O87" s="7">
        <v>0</v>
      </c>
      <c r="P87" s="7">
        <f t="shared" si="1"/>
        <v>457</v>
      </c>
      <c r="Q87" s="3"/>
      <c r="R87" s="7">
        <v>457</v>
      </c>
      <c r="S87" s="7">
        <v>0</v>
      </c>
      <c r="T87" s="3"/>
      <c r="U87" s="7">
        <v>228</v>
      </c>
      <c r="V87" s="3"/>
      <c r="W87" s="7">
        <v>285</v>
      </c>
      <c r="X87" s="3"/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7">
        <v>0</v>
      </c>
    </row>
    <row r="88" spans="1:40" x14ac:dyDescent="0.25">
      <c r="A88" s="11">
        <v>745564</v>
      </c>
      <c r="B88" s="10" t="s">
        <v>42</v>
      </c>
      <c r="C88" s="2" t="s">
        <v>55</v>
      </c>
      <c r="D88" s="2" t="s">
        <v>59</v>
      </c>
      <c r="E88" s="3"/>
      <c r="F88" s="3"/>
      <c r="G88" s="3"/>
      <c r="H88" s="3"/>
      <c r="I88" s="6">
        <v>0</v>
      </c>
      <c r="J88" s="7">
        <v>1</v>
      </c>
      <c r="K88" s="3"/>
      <c r="L88" s="7">
        <v>1</v>
      </c>
      <c r="M88" s="7">
        <v>1</v>
      </c>
      <c r="N88" s="7">
        <v>104</v>
      </c>
      <c r="O88" s="7">
        <v>0</v>
      </c>
      <c r="P88" s="7">
        <f t="shared" si="1"/>
        <v>104</v>
      </c>
      <c r="Q88" s="3"/>
      <c r="R88" s="7">
        <v>104</v>
      </c>
      <c r="S88" s="7">
        <v>0</v>
      </c>
      <c r="T88" s="3"/>
      <c r="U88" s="7">
        <v>104</v>
      </c>
      <c r="V88" s="3"/>
      <c r="W88" s="7">
        <v>76</v>
      </c>
      <c r="X88" s="3"/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7">
        <v>0</v>
      </c>
    </row>
    <row r="89" spans="1:40" x14ac:dyDescent="0.25">
      <c r="A89" s="11">
        <v>745564</v>
      </c>
      <c r="B89" s="4" t="s">
        <v>63</v>
      </c>
      <c r="C89" s="4"/>
      <c r="D89" s="4"/>
      <c r="E89" s="4"/>
      <c r="F89" s="4"/>
      <c r="G89" s="4"/>
      <c r="H89" s="4"/>
      <c r="I89" s="8">
        <v>0</v>
      </c>
      <c r="J89" s="9">
        <v>3</v>
      </c>
      <c r="K89" s="4"/>
      <c r="L89" s="9">
        <v>3</v>
      </c>
      <c r="M89" s="9">
        <v>3</v>
      </c>
      <c r="N89" s="9">
        <v>560</v>
      </c>
      <c r="O89" s="9">
        <v>0</v>
      </c>
      <c r="P89" s="7">
        <f t="shared" si="1"/>
        <v>560</v>
      </c>
      <c r="Q89" s="4"/>
      <c r="R89" s="9">
        <v>560</v>
      </c>
      <c r="S89" s="9">
        <v>0</v>
      </c>
      <c r="T89" s="4"/>
      <c r="U89" s="9">
        <v>187</v>
      </c>
      <c r="V89" s="4"/>
      <c r="W89" s="9">
        <v>362</v>
      </c>
      <c r="X89" s="4"/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9">
        <v>0</v>
      </c>
    </row>
    <row r="90" spans="1:40" x14ac:dyDescent="0.25">
      <c r="A90" s="11">
        <v>745985</v>
      </c>
      <c r="B90" s="10" t="s">
        <v>42</v>
      </c>
      <c r="C90" s="10" t="s">
        <v>43</v>
      </c>
      <c r="D90" s="2" t="s">
        <v>44</v>
      </c>
      <c r="E90" s="6">
        <v>1.0309999999999999</v>
      </c>
      <c r="F90" s="6">
        <v>0</v>
      </c>
      <c r="G90" s="6">
        <v>0</v>
      </c>
      <c r="H90" s="6">
        <v>0</v>
      </c>
      <c r="I90" s="6">
        <v>0</v>
      </c>
      <c r="J90" s="7">
        <v>0</v>
      </c>
      <c r="K90" s="3"/>
      <c r="L90" s="7">
        <v>5</v>
      </c>
      <c r="M90" s="7">
        <v>0</v>
      </c>
      <c r="N90" s="7">
        <v>2926</v>
      </c>
      <c r="O90" s="7">
        <v>2837</v>
      </c>
      <c r="P90" s="7">
        <f t="shared" si="1"/>
        <v>89</v>
      </c>
      <c r="Q90" s="6">
        <v>3.1E-2</v>
      </c>
      <c r="R90" s="7">
        <v>0</v>
      </c>
      <c r="S90" s="7">
        <v>0</v>
      </c>
      <c r="T90" s="3"/>
      <c r="U90" s="3"/>
      <c r="V90" s="3"/>
      <c r="W90" s="7">
        <v>2920</v>
      </c>
      <c r="X90" s="6">
        <v>3.2000000000000001E-2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7">
        <v>0</v>
      </c>
    </row>
    <row r="91" spans="1:40" x14ac:dyDescent="0.25">
      <c r="A91" s="11">
        <v>745985</v>
      </c>
      <c r="B91" s="10" t="s">
        <v>42</v>
      </c>
      <c r="C91" s="10" t="s">
        <v>43</v>
      </c>
      <c r="D91" s="2" t="s">
        <v>46</v>
      </c>
      <c r="E91" s="6">
        <v>0.57699999999999996</v>
      </c>
      <c r="F91" s="6">
        <v>0.36899999999999999</v>
      </c>
      <c r="G91" s="6">
        <v>0</v>
      </c>
      <c r="H91" s="6">
        <v>0</v>
      </c>
      <c r="I91" s="6">
        <v>0</v>
      </c>
      <c r="J91" s="7">
        <v>0</v>
      </c>
      <c r="K91" s="6">
        <v>-1</v>
      </c>
      <c r="L91" s="7">
        <v>82</v>
      </c>
      <c r="M91" s="7">
        <v>-48</v>
      </c>
      <c r="N91" s="7">
        <v>15293</v>
      </c>
      <c r="O91" s="7">
        <v>26485</v>
      </c>
      <c r="P91" s="7">
        <f t="shared" si="1"/>
        <v>-11192</v>
      </c>
      <c r="Q91" s="6">
        <v>-0.42299999999999999</v>
      </c>
      <c r="R91" s="7">
        <v>0</v>
      </c>
      <c r="S91" s="7">
        <v>1621</v>
      </c>
      <c r="T91" s="6">
        <v>-1</v>
      </c>
      <c r="U91" s="3"/>
      <c r="V91" s="3"/>
      <c r="W91" s="7">
        <v>22386</v>
      </c>
      <c r="X91" s="6">
        <v>-0.25</v>
      </c>
      <c r="Y91" s="6">
        <v>2.7E-2</v>
      </c>
      <c r="Z91" s="6">
        <v>0.33100000000000002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7">
        <v>0</v>
      </c>
    </row>
    <row r="92" spans="1:40" x14ac:dyDescent="0.25">
      <c r="A92" s="11">
        <v>745985</v>
      </c>
      <c r="B92" s="10" t="s">
        <v>42</v>
      </c>
      <c r="C92" s="10" t="s">
        <v>43</v>
      </c>
      <c r="D92" s="2" t="s">
        <v>50</v>
      </c>
      <c r="E92" s="6">
        <v>0.59699999999999998</v>
      </c>
      <c r="F92" s="6">
        <v>0.34100000000000003</v>
      </c>
      <c r="G92" s="6">
        <v>1.9E-2</v>
      </c>
      <c r="H92" s="6">
        <v>0</v>
      </c>
      <c r="I92" s="6">
        <v>0</v>
      </c>
      <c r="J92" s="7">
        <v>1</v>
      </c>
      <c r="K92" s="6">
        <v>-0.88900000000000001</v>
      </c>
      <c r="L92" s="7">
        <v>30</v>
      </c>
      <c r="M92" s="7">
        <v>-14</v>
      </c>
      <c r="N92" s="7">
        <v>6359</v>
      </c>
      <c r="O92" s="7">
        <v>10330</v>
      </c>
      <c r="P92" s="7">
        <f t="shared" si="1"/>
        <v>-3971</v>
      </c>
      <c r="Q92" s="6">
        <v>-0.38400000000000001</v>
      </c>
      <c r="R92" s="7">
        <v>195</v>
      </c>
      <c r="S92" s="7">
        <v>1562</v>
      </c>
      <c r="T92" s="6">
        <v>-0.875</v>
      </c>
      <c r="U92" s="7">
        <v>195</v>
      </c>
      <c r="V92" s="6">
        <v>0.121</v>
      </c>
      <c r="W92" s="7">
        <v>8802</v>
      </c>
      <c r="X92" s="6">
        <v>-0.06</v>
      </c>
      <c r="Y92" s="6">
        <v>0</v>
      </c>
      <c r="Z92" s="6">
        <v>0.47799999999999998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7">
        <v>0</v>
      </c>
    </row>
    <row r="93" spans="1:40" x14ac:dyDescent="0.25">
      <c r="A93" s="11">
        <v>745985</v>
      </c>
      <c r="B93" s="10" t="s">
        <v>42</v>
      </c>
      <c r="C93" s="10" t="s">
        <v>43</v>
      </c>
      <c r="D93" s="2" t="s">
        <v>51</v>
      </c>
      <c r="E93" s="6">
        <v>0.26300000000000001</v>
      </c>
      <c r="F93" s="6">
        <v>0.71399999999999997</v>
      </c>
      <c r="G93" s="6">
        <v>0</v>
      </c>
      <c r="H93" s="6">
        <v>0</v>
      </c>
      <c r="I93" s="6">
        <v>0</v>
      </c>
      <c r="J93" s="7">
        <v>0</v>
      </c>
      <c r="K93" s="3"/>
      <c r="L93" s="7">
        <v>2</v>
      </c>
      <c r="M93" s="7">
        <v>-5</v>
      </c>
      <c r="N93" s="7">
        <v>774</v>
      </c>
      <c r="O93" s="7">
        <v>2943</v>
      </c>
      <c r="P93" s="7">
        <f t="shared" si="1"/>
        <v>-2169</v>
      </c>
      <c r="Q93" s="6">
        <v>-0.73699999999999999</v>
      </c>
      <c r="R93" s="7">
        <v>0</v>
      </c>
      <c r="S93" s="7">
        <v>0</v>
      </c>
      <c r="T93" s="3"/>
      <c r="U93" s="3"/>
      <c r="V93" s="3"/>
      <c r="W93" s="7">
        <v>1951</v>
      </c>
      <c r="X93" s="6">
        <v>-0.32200000000000001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7">
        <v>0</v>
      </c>
    </row>
    <row r="94" spans="1:40" x14ac:dyDescent="0.25">
      <c r="A94" s="11">
        <v>745985</v>
      </c>
      <c r="B94" s="10" t="s">
        <v>42</v>
      </c>
      <c r="C94" s="10" t="s">
        <v>43</v>
      </c>
      <c r="D94" s="2" t="s">
        <v>52</v>
      </c>
      <c r="E94" s="6">
        <v>0.46200000000000002</v>
      </c>
      <c r="F94" s="6">
        <v>0.45500000000000002</v>
      </c>
      <c r="G94" s="6">
        <v>0.14099999999999999</v>
      </c>
      <c r="H94" s="6">
        <v>0</v>
      </c>
      <c r="I94" s="6">
        <v>0</v>
      </c>
      <c r="J94" s="7">
        <v>1</v>
      </c>
      <c r="K94" s="6">
        <v>0</v>
      </c>
      <c r="L94" s="7">
        <v>7</v>
      </c>
      <c r="M94" s="7">
        <v>-4</v>
      </c>
      <c r="N94" s="7">
        <v>194</v>
      </c>
      <c r="O94" s="7">
        <v>322</v>
      </c>
      <c r="P94" s="7">
        <f t="shared" si="1"/>
        <v>-128</v>
      </c>
      <c r="Q94" s="6">
        <v>-0.39700000000000002</v>
      </c>
      <c r="R94" s="7">
        <v>46</v>
      </c>
      <c r="S94" s="7">
        <v>15</v>
      </c>
      <c r="T94" s="6">
        <v>2.0219999999999998</v>
      </c>
      <c r="U94" s="7">
        <v>46</v>
      </c>
      <c r="V94" s="6">
        <v>2.0219999999999998</v>
      </c>
      <c r="W94" s="7">
        <v>293</v>
      </c>
      <c r="X94" s="6">
        <v>-3.5999999999999997E-2</v>
      </c>
      <c r="Y94" s="6">
        <v>0.32600000000000001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7">
        <v>0</v>
      </c>
    </row>
    <row r="95" spans="1:40" x14ac:dyDescent="0.25">
      <c r="A95" s="11">
        <v>745985</v>
      </c>
      <c r="B95" s="10" t="s">
        <v>42</v>
      </c>
      <c r="C95" s="10" t="s">
        <v>43</v>
      </c>
      <c r="D95" s="2" t="s">
        <v>53</v>
      </c>
      <c r="E95" s="6">
        <v>1.0149999999999999</v>
      </c>
      <c r="F95" s="6">
        <v>0</v>
      </c>
      <c r="G95" s="6">
        <v>0</v>
      </c>
      <c r="H95" s="6">
        <v>0</v>
      </c>
      <c r="I95" s="6">
        <v>0</v>
      </c>
      <c r="J95" s="7">
        <v>0</v>
      </c>
      <c r="K95" s="6">
        <v>-1</v>
      </c>
      <c r="L95" s="7">
        <v>1</v>
      </c>
      <c r="M95" s="7">
        <v>0</v>
      </c>
      <c r="N95" s="7">
        <v>160</v>
      </c>
      <c r="O95" s="7">
        <v>158</v>
      </c>
      <c r="P95" s="7">
        <f t="shared" si="1"/>
        <v>2</v>
      </c>
      <c r="Q95" s="6">
        <v>1.4999999999999999E-2</v>
      </c>
      <c r="R95" s="7">
        <v>0</v>
      </c>
      <c r="S95" s="7">
        <v>158</v>
      </c>
      <c r="T95" s="6">
        <v>-1</v>
      </c>
      <c r="U95" s="3"/>
      <c r="V95" s="3"/>
      <c r="W95" s="7">
        <v>160</v>
      </c>
      <c r="X95" s="6">
        <v>0.26800000000000002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7">
        <v>0</v>
      </c>
    </row>
    <row r="96" spans="1:40" x14ac:dyDescent="0.25">
      <c r="A96" s="11">
        <v>745985</v>
      </c>
      <c r="B96" s="10" t="s">
        <v>42</v>
      </c>
      <c r="C96" s="10" t="s">
        <v>55</v>
      </c>
      <c r="D96" s="2" t="s">
        <v>44</v>
      </c>
      <c r="E96" s="6">
        <v>1.1299999999999999</v>
      </c>
      <c r="F96" s="6">
        <v>0</v>
      </c>
      <c r="G96" s="6">
        <v>0</v>
      </c>
      <c r="H96" s="6">
        <v>0</v>
      </c>
      <c r="I96" s="6">
        <v>0</v>
      </c>
      <c r="J96" s="7">
        <v>0</v>
      </c>
      <c r="K96" s="3"/>
      <c r="L96" s="7">
        <v>1</v>
      </c>
      <c r="M96" s="7">
        <v>0</v>
      </c>
      <c r="N96" s="7">
        <v>367</v>
      </c>
      <c r="O96" s="7">
        <v>325</v>
      </c>
      <c r="P96" s="7">
        <f t="shared" si="1"/>
        <v>42</v>
      </c>
      <c r="Q96" s="6">
        <v>0.13</v>
      </c>
      <c r="R96" s="7">
        <v>0</v>
      </c>
      <c r="S96" s="7">
        <v>0</v>
      </c>
      <c r="T96" s="3"/>
      <c r="U96" s="3"/>
      <c r="V96" s="3"/>
      <c r="W96" s="7">
        <v>367</v>
      </c>
      <c r="X96" s="6">
        <v>0.01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7">
        <v>0</v>
      </c>
    </row>
    <row r="97" spans="1:40" x14ac:dyDescent="0.25">
      <c r="A97" s="11">
        <v>745985</v>
      </c>
      <c r="B97" s="10" t="s">
        <v>42</v>
      </c>
      <c r="C97" s="10" t="s">
        <v>55</v>
      </c>
      <c r="D97" s="2" t="s">
        <v>56</v>
      </c>
      <c r="E97" s="6">
        <v>0.47899999999999998</v>
      </c>
      <c r="F97" s="6">
        <v>0.25</v>
      </c>
      <c r="G97" s="6">
        <v>0</v>
      </c>
      <c r="H97" s="6">
        <v>0</v>
      </c>
      <c r="I97" s="6">
        <v>0</v>
      </c>
      <c r="J97" s="7">
        <v>0</v>
      </c>
      <c r="K97" s="3"/>
      <c r="L97" s="7">
        <v>3</v>
      </c>
      <c r="M97" s="7">
        <v>-1</v>
      </c>
      <c r="N97" s="7">
        <v>358</v>
      </c>
      <c r="O97" s="7">
        <v>747</v>
      </c>
      <c r="P97" s="7">
        <f t="shared" si="1"/>
        <v>-389</v>
      </c>
      <c r="Q97" s="6">
        <v>-0.52100000000000002</v>
      </c>
      <c r="R97" s="7">
        <v>0</v>
      </c>
      <c r="S97" s="7">
        <v>0</v>
      </c>
      <c r="T97" s="3"/>
      <c r="U97" s="3"/>
      <c r="V97" s="3"/>
      <c r="W97" s="7">
        <v>551</v>
      </c>
      <c r="X97" s="6">
        <v>-0.64700000000000002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7">
        <v>0</v>
      </c>
    </row>
    <row r="98" spans="1:40" x14ac:dyDescent="0.25">
      <c r="A98" s="11">
        <v>745985</v>
      </c>
      <c r="B98" s="10" t="s">
        <v>42</v>
      </c>
      <c r="C98" s="10" t="s">
        <v>55</v>
      </c>
      <c r="D98" s="2" t="s">
        <v>51</v>
      </c>
      <c r="E98" s="6">
        <v>0</v>
      </c>
      <c r="F98" s="6">
        <v>1</v>
      </c>
      <c r="G98" s="6">
        <v>0</v>
      </c>
      <c r="H98" s="6">
        <v>0</v>
      </c>
      <c r="I98" s="6">
        <v>0</v>
      </c>
      <c r="J98" s="7">
        <v>0</v>
      </c>
      <c r="K98" s="3"/>
      <c r="L98" s="7">
        <v>0</v>
      </c>
      <c r="M98" s="7">
        <v>-1</v>
      </c>
      <c r="N98" s="7">
        <v>0</v>
      </c>
      <c r="O98" s="7">
        <v>333</v>
      </c>
      <c r="P98" s="7">
        <f t="shared" si="1"/>
        <v>-333</v>
      </c>
      <c r="Q98" s="6">
        <v>-1</v>
      </c>
      <c r="R98" s="7">
        <v>0</v>
      </c>
      <c r="S98" s="7">
        <v>0</v>
      </c>
      <c r="T98" s="3"/>
      <c r="U98" s="3"/>
      <c r="V98" s="3"/>
      <c r="W98" s="7">
        <v>178</v>
      </c>
      <c r="X98" s="6">
        <v>-0.45200000000000001</v>
      </c>
      <c r="Y98" s="3"/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7">
        <v>0</v>
      </c>
    </row>
    <row r="99" spans="1:40" x14ac:dyDescent="0.25">
      <c r="A99" s="11">
        <v>745985</v>
      </c>
      <c r="B99" s="10" t="s">
        <v>42</v>
      </c>
      <c r="C99" s="10" t="s">
        <v>55</v>
      </c>
      <c r="D99" s="2" t="s">
        <v>57</v>
      </c>
      <c r="E99" s="6">
        <v>0.92800000000000005</v>
      </c>
      <c r="F99" s="6">
        <v>0.5</v>
      </c>
      <c r="G99" s="6">
        <v>0</v>
      </c>
      <c r="H99" s="6">
        <v>0</v>
      </c>
      <c r="I99" s="6">
        <v>0</v>
      </c>
      <c r="J99" s="7">
        <v>0</v>
      </c>
      <c r="K99" s="6">
        <v>-1</v>
      </c>
      <c r="L99" s="7">
        <v>2</v>
      </c>
      <c r="M99" s="7">
        <v>-2</v>
      </c>
      <c r="N99" s="7">
        <v>2977</v>
      </c>
      <c r="O99" s="7">
        <v>3209</v>
      </c>
      <c r="P99" s="7">
        <f t="shared" si="1"/>
        <v>-232</v>
      </c>
      <c r="Q99" s="6">
        <v>-7.1999999999999995E-2</v>
      </c>
      <c r="R99" s="7">
        <v>0</v>
      </c>
      <c r="S99" s="7">
        <v>978</v>
      </c>
      <c r="T99" s="6">
        <v>-1</v>
      </c>
      <c r="U99" s="3"/>
      <c r="V99" s="3"/>
      <c r="W99" s="7">
        <v>4468</v>
      </c>
      <c r="X99" s="6">
        <v>4.9000000000000002E-2</v>
      </c>
      <c r="Y99" s="6">
        <v>0</v>
      </c>
      <c r="Z99" s="6">
        <v>0.64400000000000002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7">
        <v>0</v>
      </c>
    </row>
    <row r="100" spans="1:40" x14ac:dyDescent="0.25">
      <c r="A100" s="11">
        <v>745985</v>
      </c>
      <c r="B100" s="10" t="s">
        <v>42</v>
      </c>
      <c r="C100" s="10" t="s">
        <v>55</v>
      </c>
      <c r="D100" s="2" t="s">
        <v>59</v>
      </c>
      <c r="E100" s="6">
        <v>0</v>
      </c>
      <c r="F100" s="6">
        <v>1</v>
      </c>
      <c r="G100" s="6">
        <v>0</v>
      </c>
      <c r="H100" s="6">
        <v>0</v>
      </c>
      <c r="I100" s="6">
        <v>0</v>
      </c>
      <c r="J100" s="7">
        <v>0</v>
      </c>
      <c r="K100" s="3"/>
      <c r="L100" s="7">
        <v>0</v>
      </c>
      <c r="M100" s="7">
        <v>-1</v>
      </c>
      <c r="N100" s="7">
        <v>0</v>
      </c>
      <c r="O100" s="7">
        <v>210</v>
      </c>
      <c r="P100" s="7">
        <f t="shared" si="1"/>
        <v>-210</v>
      </c>
      <c r="Q100" s="6">
        <v>-1</v>
      </c>
      <c r="R100" s="7">
        <v>0</v>
      </c>
      <c r="S100" s="7">
        <v>0</v>
      </c>
      <c r="T100" s="3"/>
      <c r="U100" s="3"/>
      <c r="V100" s="3"/>
      <c r="W100" s="7">
        <v>203</v>
      </c>
      <c r="X100" s="6">
        <v>-8.8999999999999996E-2</v>
      </c>
      <c r="Y100" s="3"/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7">
        <v>0</v>
      </c>
    </row>
    <row r="101" spans="1:40" x14ac:dyDescent="0.25">
      <c r="A101" s="11">
        <v>745985</v>
      </c>
      <c r="B101" s="10" t="s">
        <v>42</v>
      </c>
      <c r="C101" s="10" t="s">
        <v>55</v>
      </c>
      <c r="D101" s="2" t="s">
        <v>52</v>
      </c>
      <c r="E101" s="6">
        <v>1.0029999999999999</v>
      </c>
      <c r="F101" s="6">
        <v>0</v>
      </c>
      <c r="G101" s="6">
        <v>0</v>
      </c>
      <c r="H101" s="6">
        <v>0</v>
      </c>
      <c r="I101" s="6">
        <v>0</v>
      </c>
      <c r="J101" s="7">
        <v>0</v>
      </c>
      <c r="K101" s="3"/>
      <c r="L101" s="7">
        <v>2</v>
      </c>
      <c r="M101" s="7">
        <v>0</v>
      </c>
      <c r="N101" s="7">
        <v>681</v>
      </c>
      <c r="O101" s="7">
        <v>679</v>
      </c>
      <c r="P101" s="7">
        <f t="shared" si="1"/>
        <v>2</v>
      </c>
      <c r="Q101" s="6">
        <v>3.0000000000000001E-3</v>
      </c>
      <c r="R101" s="7">
        <v>0</v>
      </c>
      <c r="S101" s="7">
        <v>0</v>
      </c>
      <c r="T101" s="3"/>
      <c r="U101" s="3"/>
      <c r="V101" s="3"/>
      <c r="W101" s="7">
        <v>680</v>
      </c>
      <c r="X101" s="6">
        <v>3.0000000000000001E-3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7">
        <v>0</v>
      </c>
    </row>
    <row r="102" spans="1:40" x14ac:dyDescent="0.25">
      <c r="A102" s="11">
        <v>745985</v>
      </c>
      <c r="B102" s="4" t="s">
        <v>63</v>
      </c>
      <c r="C102" s="4"/>
      <c r="D102" s="4"/>
      <c r="E102" s="8">
        <v>0.61399999999999999</v>
      </c>
      <c r="F102" s="8">
        <v>0.37</v>
      </c>
      <c r="G102" s="8">
        <v>5.0000000000000001E-3</v>
      </c>
      <c r="H102" s="8">
        <v>0</v>
      </c>
      <c r="I102" s="8">
        <v>0</v>
      </c>
      <c r="J102" s="9">
        <v>2</v>
      </c>
      <c r="K102" s="8">
        <v>-0.89500000000000002</v>
      </c>
      <c r="L102" s="9">
        <v>135</v>
      </c>
      <c r="M102" s="9">
        <v>-76</v>
      </c>
      <c r="N102" s="9">
        <v>30089</v>
      </c>
      <c r="O102" s="9">
        <v>48577</v>
      </c>
      <c r="P102" s="7">
        <f t="shared" si="1"/>
        <v>-18488</v>
      </c>
      <c r="Q102" s="8">
        <v>-0.38100000000000001</v>
      </c>
      <c r="R102" s="9">
        <v>240</v>
      </c>
      <c r="S102" s="9">
        <v>4333</v>
      </c>
      <c r="T102" s="8">
        <v>-0.94499999999999995</v>
      </c>
      <c r="U102" s="9">
        <v>120</v>
      </c>
      <c r="V102" s="8">
        <v>-0.47399999999999998</v>
      </c>
      <c r="W102" s="9">
        <v>42959</v>
      </c>
      <c r="X102" s="8">
        <v>-0.185</v>
      </c>
      <c r="Y102" s="8">
        <v>1.6E-2</v>
      </c>
      <c r="Z102" s="8">
        <v>0.33700000000000002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9">
        <v>0</v>
      </c>
    </row>
    <row r="103" spans="1:40" x14ac:dyDescent="0.25">
      <c r="A103" s="2" t="s">
        <v>64</v>
      </c>
      <c r="B103" s="2" t="s">
        <v>64</v>
      </c>
      <c r="C103" s="2" t="s">
        <v>64</v>
      </c>
      <c r="D103" s="2" t="s">
        <v>64</v>
      </c>
      <c r="E103" s="8">
        <v>0.87</v>
      </c>
      <c r="F103" s="8">
        <v>0.14499999999999999</v>
      </c>
      <c r="G103" s="8">
        <v>0.13400000000000001</v>
      </c>
      <c r="H103" s="8">
        <v>0</v>
      </c>
      <c r="I103" s="8">
        <v>0</v>
      </c>
      <c r="J103" s="9">
        <v>666</v>
      </c>
      <c r="K103" s="8">
        <v>0.14000000000000001</v>
      </c>
      <c r="L103" s="9">
        <v>4246</v>
      </c>
      <c r="M103" s="9">
        <v>61</v>
      </c>
      <c r="N103" s="9">
        <v>1387123</v>
      </c>
      <c r="O103" s="9">
        <v>1381482</v>
      </c>
      <c r="P103" s="7">
        <f t="shared" si="1"/>
        <v>5641</v>
      </c>
      <c r="Q103" s="8">
        <v>4.0000000000000001E-3</v>
      </c>
      <c r="R103" s="9">
        <v>185024</v>
      </c>
      <c r="S103" s="9">
        <v>177904</v>
      </c>
      <c r="T103" s="8">
        <v>0.04</v>
      </c>
      <c r="U103" s="9">
        <v>281</v>
      </c>
      <c r="V103" s="8">
        <v>-0.11600000000000001</v>
      </c>
      <c r="W103" s="9">
        <v>1409884</v>
      </c>
      <c r="X103" s="8">
        <v>2.1000000000000001E-2</v>
      </c>
      <c r="Y103" s="8">
        <v>8.0000000000000002E-3</v>
      </c>
      <c r="Z103" s="8">
        <v>0.70699999999999996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  <c r="AN103" s="9">
        <v>0</v>
      </c>
    </row>
    <row r="105" spans="1:40" x14ac:dyDescent="0.25">
      <c r="A105" t="s">
        <v>0</v>
      </c>
      <c r="B105" t="s">
        <v>0</v>
      </c>
      <c r="C105" t="s">
        <v>0</v>
      </c>
    </row>
    <row r="106" spans="1:40" x14ac:dyDescent="0.25">
      <c r="A106" s="5" t="s">
        <v>1</v>
      </c>
      <c r="B106" s="5" t="s">
        <v>2</v>
      </c>
    </row>
  </sheetData>
  <mergeCells count="28">
    <mergeCell ref="A4:AN4"/>
    <mergeCell ref="A5:AN5"/>
    <mergeCell ref="A7:A29"/>
    <mergeCell ref="A30:A43"/>
    <mergeCell ref="A44:A54"/>
    <mergeCell ref="C7:C17"/>
    <mergeCell ref="C18:C26"/>
    <mergeCell ref="C30:C37"/>
    <mergeCell ref="C38:C42"/>
    <mergeCell ref="C44:C49"/>
    <mergeCell ref="C50:C53"/>
    <mergeCell ref="A55:A69"/>
    <mergeCell ref="A70:A86"/>
    <mergeCell ref="A87:A89"/>
    <mergeCell ref="A90:A102"/>
    <mergeCell ref="B7:B28"/>
    <mergeCell ref="B30:B42"/>
    <mergeCell ref="B44:B53"/>
    <mergeCell ref="B55:B68"/>
    <mergeCell ref="B70:B85"/>
    <mergeCell ref="B87:B88"/>
    <mergeCell ref="B90:B101"/>
    <mergeCell ref="C96:C101"/>
    <mergeCell ref="C55:C62"/>
    <mergeCell ref="C63:C67"/>
    <mergeCell ref="C70:C79"/>
    <mergeCell ref="C80:C85"/>
    <mergeCell ref="C90:C95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479ED938DA1841B1A93392168D534D" ma:contentTypeVersion="11" ma:contentTypeDescription="Crée un document." ma:contentTypeScope="" ma:versionID="041d5e5c1e8ce2f485894dcec25fb3de">
  <xsd:schema xmlns:xsd="http://www.w3.org/2001/XMLSchema" xmlns:xs="http://www.w3.org/2001/XMLSchema" xmlns:p="http://schemas.microsoft.com/office/2006/metadata/properties" xmlns:ns2="93a38bf9-8a59-4a69-b731-c28848d2257d" xmlns:ns3="2c246f9f-e8c5-4b61-9e08-12b4b5d93b0e" targetNamespace="http://schemas.microsoft.com/office/2006/metadata/properties" ma:root="true" ma:fieldsID="c6cd4905bb92a502cec78e9369320c09" ns2:_="" ns3:_="">
    <xsd:import namespace="93a38bf9-8a59-4a69-b731-c28848d2257d"/>
    <xsd:import namespace="2c246f9f-e8c5-4b61-9e08-12b4b5d93b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38bf9-8a59-4a69-b731-c28848d225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246f9f-e8c5-4b61-9e08-12b4b5d93b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0EB255-C37D-458B-A341-6848A381D10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A5BB60-D2FC-47A0-9ECB-AAD2DA2883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3FCA13-A152-44F3-B72A-61FDAADDB5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a38bf9-8a59-4a69-b731-c28848d2257d"/>
    <ds:schemaRef ds:uri="2c246f9f-e8c5-4b61-9e08-12b4b5d93b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P&amp;C</vt:lpstr>
    </vt:vector>
  </TitlesOfParts>
  <Manager/>
  <Company>AXA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Vilda Ahedo Iban</dc:creator>
  <cp:keywords/>
  <dc:description/>
  <cp:lastModifiedBy>Miguel Garcia Navarro</cp:lastModifiedBy>
  <cp:revision/>
  <dcterms:created xsi:type="dcterms:W3CDTF">2019-03-04T20:04:47Z</dcterms:created>
  <dcterms:modified xsi:type="dcterms:W3CDTF">2023-01-20T09:14:27Z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horIds_UIVersion_3072">
    <vt:lpwstr>32</vt:lpwstr>
  </property>
  <property fmtid="{D5CDD505-2E9C-101B-9397-08002B2CF9AE}" pid="3" name="ContentTypeId">
    <vt:lpwstr>0x0101008A479ED938DA1841B1A93392168D534D</vt:lpwstr>
  </property>
  <property fmtid="{D5CDD505-2E9C-101B-9397-08002B2CF9AE}" pid="4" name="MSIP_Label_432d5f8a-12aa-48f4-ac09-593b02e41a00_Enabled">
    <vt:lpwstr>true</vt:lpwstr>
  </property>
  <property fmtid="{D5CDD505-2E9C-101B-9397-08002B2CF9AE}" pid="5" name="MSIP_Label_432d5f8a-12aa-48f4-ac09-593b02e41a00_SetDate">
    <vt:lpwstr>2023-01-18T16:32:21Z</vt:lpwstr>
  </property>
  <property fmtid="{D5CDD505-2E9C-101B-9397-08002B2CF9AE}" pid="6" name="MSIP_Label_432d5f8a-12aa-48f4-ac09-593b02e41a00_Method">
    <vt:lpwstr>Standard</vt:lpwstr>
  </property>
  <property fmtid="{D5CDD505-2E9C-101B-9397-08002B2CF9AE}" pid="7" name="MSIP_Label_432d5f8a-12aa-48f4-ac09-593b02e41a00_Name">
    <vt:lpwstr>ES_INTERNAL</vt:lpwstr>
  </property>
  <property fmtid="{D5CDD505-2E9C-101B-9397-08002B2CF9AE}" pid="8" name="MSIP_Label_432d5f8a-12aa-48f4-ac09-593b02e41a00_SiteId">
    <vt:lpwstr>396b38cc-aa65-492b-bb0e-3d94ed25a97b</vt:lpwstr>
  </property>
  <property fmtid="{D5CDD505-2E9C-101B-9397-08002B2CF9AE}" pid="9" name="MSIP_Label_432d5f8a-12aa-48f4-ac09-593b02e41a00_ActionId">
    <vt:lpwstr>b359b57e-dccc-4138-b184-56ba8e68a693</vt:lpwstr>
  </property>
  <property fmtid="{D5CDD505-2E9C-101B-9397-08002B2CF9AE}" pid="10" name="MSIP_Label_432d5f8a-12aa-48f4-ac09-593b02e41a00_ContentBits">
    <vt:lpwstr>2</vt:lpwstr>
  </property>
</Properties>
</file>